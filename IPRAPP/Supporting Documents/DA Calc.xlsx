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 D\All Office Branch Docs\IPR Old\"/>
    </mc:Choice>
  </mc:AlternateContent>
  <bookViews>
    <workbookView xWindow="240" yWindow="48" windowWidth="20112" windowHeight="7740" activeTab="1"/>
  </bookViews>
  <sheets>
    <sheet name="Sheet3" sheetId="3" r:id="rId1"/>
    <sheet name="Sheet4" sheetId="4" r:id="rId2"/>
  </sheets>
  <calcPr calcId="162913"/>
</workbook>
</file>

<file path=xl/calcChain.xml><?xml version="1.0" encoding="utf-8"?>
<calcChain xmlns="http://schemas.openxmlformats.org/spreadsheetml/2006/main">
  <c r="F6" i="4" l="1"/>
  <c r="E6" i="4"/>
  <c r="D6" i="4"/>
  <c r="C6" i="4"/>
  <c r="F5" i="4"/>
  <c r="E5" i="4"/>
  <c r="D5" i="4"/>
  <c r="C5" i="4"/>
  <c r="F4" i="4"/>
  <c r="E4" i="4"/>
  <c r="D4" i="4"/>
  <c r="C4" i="4"/>
  <c r="F43" i="3" l="1"/>
  <c r="E43" i="3"/>
  <c r="D43" i="3"/>
  <c r="C43" i="3"/>
  <c r="F42" i="3"/>
  <c r="E42" i="3"/>
  <c r="D42" i="3"/>
  <c r="C42" i="3"/>
  <c r="F41" i="3"/>
  <c r="E41" i="3"/>
  <c r="D41" i="3"/>
  <c r="C41" i="3"/>
  <c r="E37" i="3"/>
  <c r="E36" i="3"/>
  <c r="E35" i="3"/>
  <c r="C37" i="3"/>
  <c r="C36" i="3"/>
  <c r="C35" i="3"/>
  <c r="F37" i="3"/>
  <c r="D37" i="3"/>
  <c r="F36" i="3"/>
  <c r="D36" i="3"/>
  <c r="F35" i="3"/>
  <c r="D35" i="3"/>
  <c r="C10" i="4" l="1"/>
  <c r="C17" i="4" s="1"/>
  <c r="C11" i="4"/>
  <c r="D30" i="3"/>
  <c r="E30" i="3"/>
  <c r="F30" i="3"/>
  <c r="D29" i="3"/>
  <c r="E29" i="3"/>
  <c r="F29" i="3"/>
  <c r="D28" i="3"/>
  <c r="E28" i="3"/>
  <c r="F28" i="3"/>
  <c r="C30" i="3"/>
  <c r="C29" i="3"/>
  <c r="C28" i="3"/>
  <c r="D24" i="3"/>
  <c r="E24" i="3"/>
  <c r="F24" i="3"/>
  <c r="D23" i="3"/>
  <c r="E23" i="3"/>
  <c r="F23" i="3"/>
  <c r="D22" i="3"/>
  <c r="E22" i="3"/>
  <c r="F22" i="3"/>
  <c r="C24" i="3"/>
  <c r="C23" i="3"/>
  <c r="C22" i="3"/>
  <c r="D18" i="3"/>
  <c r="E18" i="3"/>
  <c r="F18" i="3"/>
  <c r="C18" i="3"/>
  <c r="D17" i="3"/>
  <c r="E17" i="3"/>
  <c r="F17" i="3"/>
  <c r="C17" i="3"/>
  <c r="D16" i="3"/>
  <c r="E16" i="3"/>
  <c r="F16" i="3"/>
  <c r="C16" i="3"/>
  <c r="D12" i="3"/>
  <c r="E12" i="3"/>
  <c r="F12" i="3"/>
  <c r="C12" i="3"/>
  <c r="D11" i="3"/>
  <c r="E11" i="3"/>
  <c r="F11" i="3"/>
  <c r="C11" i="3"/>
  <c r="D10" i="3"/>
  <c r="E10" i="3"/>
  <c r="F10" i="3"/>
  <c r="C10" i="3"/>
  <c r="D6" i="3"/>
  <c r="E6" i="3"/>
  <c r="F6" i="3"/>
  <c r="C6" i="3"/>
  <c r="D5" i="3"/>
  <c r="E5" i="3"/>
  <c r="F5" i="3"/>
  <c r="C5" i="3"/>
  <c r="D4" i="3"/>
  <c r="E4" i="3"/>
  <c r="F4" i="3"/>
  <c r="C4" i="3"/>
  <c r="C12" i="4"/>
  <c r="C9" i="4" l="1"/>
  <c r="C16" i="4" s="1"/>
</calcChain>
</file>

<file path=xl/sharedStrings.xml><?xml version="1.0" encoding="utf-8"?>
<sst xmlns="http://schemas.openxmlformats.org/spreadsheetml/2006/main" count="119" uniqueCount="40">
  <si>
    <t>London</t>
  </si>
  <si>
    <t>Ottawa</t>
  </si>
  <si>
    <t>Toronto</t>
  </si>
  <si>
    <t>CAT-I</t>
  </si>
  <si>
    <t>CAT-II</t>
  </si>
  <si>
    <t>CAT-III</t>
  </si>
  <si>
    <t>CAT-IV</t>
  </si>
  <si>
    <t>City</t>
  </si>
  <si>
    <t>Istanbul</t>
  </si>
  <si>
    <t>Dubai</t>
  </si>
  <si>
    <t xml:space="preserve">Formula </t>
  </si>
  <si>
    <t>15% of CAT-II</t>
  </si>
  <si>
    <t>+</t>
  </si>
  <si>
    <t>Own Arrangement</t>
  </si>
  <si>
    <t>Secretary =</t>
  </si>
  <si>
    <t>Add. Secretary =</t>
  </si>
  <si>
    <t>Joint Secretary  (BPS-20)=</t>
  </si>
  <si>
    <t>D.S. &amp; S.O.  (BPS 19-17)=</t>
  </si>
  <si>
    <t>15% of CAT-III</t>
  </si>
  <si>
    <t>15% of CAT-IV</t>
  </si>
  <si>
    <t>Chairman =</t>
  </si>
  <si>
    <t>Senator =</t>
  </si>
  <si>
    <t>State Guest</t>
  </si>
  <si>
    <t>30% of CAT-II</t>
  </si>
  <si>
    <t>30% of CAT-III</t>
  </si>
  <si>
    <t>30% of CAT-IV</t>
  </si>
  <si>
    <t>BPS - 16 &amp; below =</t>
  </si>
  <si>
    <t>State Guest &amp; Transit</t>
  </si>
  <si>
    <t xml:space="preserve">One night </t>
  </si>
  <si>
    <t>Chairman</t>
  </si>
  <si>
    <t>Senator</t>
  </si>
  <si>
    <t>Secretary</t>
  </si>
  <si>
    <t>J.S.</t>
  </si>
  <si>
    <t>Night</t>
  </si>
  <si>
    <t>Transit</t>
  </si>
  <si>
    <t>Singapore</t>
  </si>
  <si>
    <t>Riyadh</t>
  </si>
  <si>
    <t>No. of nights</t>
  </si>
  <si>
    <t xml:space="preserve">Total </t>
  </si>
  <si>
    <t xml:space="preserve">Calculation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</si>
</sst>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Georgia"/>
      <family val="1"/>
    </font>
    <font>
      <sz val="11"/>
      <color theme="1"/>
      <name val="Georgia"/>
      <family val="1"/>
    </font>
    <font>
      <sz val="11"/>
      <color theme="1"/>
      <name val="Calibri"/>
      <family val="2"/>
      <scheme val="minor"/>
    </font>
    <font>
      <b/>
      <sz val="11"/>
      <name val="Georgia"/>
      <family val="1"/>
    </font>
    <font>
      <b/>
      <sz val="14"/>
      <name val="Georgia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9" fontId="1" fillId="0" borderId="1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quotePrefix="1" applyFont="1" applyFill="1" applyBorder="1" applyAlignment="1">
      <alignment horizontal="center" vertical="center"/>
    </xf>
    <xf numFmtId="0" fontId="2" fillId="0" borderId="0" xfId="0" applyFont="1"/>
    <xf numFmtId="0" fontId="5" fillId="0" borderId="0" xfId="0" quotePrefix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/>
    <xf numFmtId="166" fontId="6" fillId="0" borderId="0" xfId="1" applyNumberFormat="1" applyFont="1"/>
    <xf numFmtId="166" fontId="6" fillId="0" borderId="0" xfId="0" applyNumberFormat="1" applyFont="1"/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9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165" fontId="9" fillId="0" borderId="0" xfId="0" applyNumberFormat="1" applyFont="1"/>
    <xf numFmtId="9" fontId="9" fillId="0" borderId="0" xfId="2" applyFont="1"/>
    <xf numFmtId="164" fontId="9" fillId="0" borderId="0" xfId="1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6" fontId="9" fillId="0" borderId="0" xfId="1" applyNumberFormat="1" applyFont="1"/>
    <xf numFmtId="0" fontId="10" fillId="3" borderId="0" xfId="0" applyFont="1" applyFill="1"/>
    <xf numFmtId="0" fontId="6" fillId="3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showGridLines="0" topLeftCell="I1" zoomScale="90" zoomScaleNormal="90" workbookViewId="0">
      <selection activeCell="Z14" sqref="Z14"/>
    </sheetView>
  </sheetViews>
  <sheetFormatPr defaultRowHeight="14.4" x14ac:dyDescent="0.3"/>
  <cols>
    <col min="1" max="1" width="3.33203125" hidden="1" customWidth="1"/>
    <col min="2" max="2" width="13.33203125" style="2" hidden="1" customWidth="1"/>
    <col min="3" max="6" width="12.33203125" style="2" hidden="1" customWidth="1"/>
    <col min="7" max="7" width="5.44140625" hidden="1" customWidth="1"/>
    <col min="8" max="8" width="3.33203125" hidden="1" customWidth="1"/>
    <col min="9" max="9" width="21.44140625" customWidth="1"/>
    <col min="10" max="10" width="8.6640625" customWidth="1"/>
    <col min="11" max="11" width="3.44140625" bestFit="1" customWidth="1"/>
    <col min="12" max="12" width="9.109375" bestFit="1" customWidth="1"/>
    <col min="13" max="13" width="3.44140625" bestFit="1" customWidth="1"/>
    <col min="14" max="14" width="16.88671875" bestFit="1" customWidth="1"/>
    <col min="16" max="18" width="0" hidden="1" customWidth="1"/>
    <col min="19" max="19" width="5.33203125" hidden="1" customWidth="1"/>
    <col min="20" max="20" width="14.33203125" hidden="1" customWidth="1"/>
    <col min="21" max="21" width="11.44140625" hidden="1" customWidth="1"/>
    <col min="22" max="22" width="13.5546875" hidden="1" customWidth="1"/>
    <col min="23" max="23" width="9.5546875" hidden="1" customWidth="1"/>
  </cols>
  <sheetData>
    <row r="1" spans="2:32" x14ac:dyDescent="0.3">
      <c r="I1" s="26" t="s">
        <v>13</v>
      </c>
      <c r="J1" s="27"/>
      <c r="K1" s="27"/>
      <c r="L1" s="27"/>
      <c r="M1" s="27"/>
      <c r="N1" s="27"/>
      <c r="O1" s="28"/>
    </row>
    <row r="2" spans="2:32" ht="15" thickBot="1" x14ac:dyDescent="0.35">
      <c r="B2" s="3" t="s">
        <v>7</v>
      </c>
      <c r="C2" s="4" t="s">
        <v>3</v>
      </c>
      <c r="D2" s="4" t="s">
        <v>4</v>
      </c>
      <c r="E2" s="4" t="s">
        <v>5</v>
      </c>
      <c r="F2" s="4" t="s">
        <v>6</v>
      </c>
      <c r="I2" s="30" t="s">
        <v>10</v>
      </c>
      <c r="J2" s="31"/>
      <c r="K2" s="31"/>
      <c r="L2" s="31"/>
      <c r="M2" s="31"/>
      <c r="N2" s="31"/>
      <c r="O2" s="32"/>
      <c r="R2" t="s">
        <v>28</v>
      </c>
      <c r="T2" s="11" t="s">
        <v>29</v>
      </c>
      <c r="U2" s="11" t="s">
        <v>30</v>
      </c>
      <c r="V2" s="11" t="s">
        <v>31</v>
      </c>
      <c r="W2" s="11" t="s">
        <v>32</v>
      </c>
    </row>
    <row r="3" spans="2:32" ht="22.2" customHeight="1" x14ac:dyDescent="0.3">
      <c r="B3" s="5" t="s">
        <v>0</v>
      </c>
      <c r="C3" s="4">
        <v>161</v>
      </c>
      <c r="D3" s="4">
        <v>321</v>
      </c>
      <c r="E3" s="4">
        <v>289</v>
      </c>
      <c r="F3" s="4">
        <v>214</v>
      </c>
      <c r="I3" s="11" t="s">
        <v>20</v>
      </c>
      <c r="J3" s="9" t="s">
        <v>3</v>
      </c>
      <c r="K3" s="10" t="s">
        <v>12</v>
      </c>
      <c r="L3" s="9" t="s">
        <v>4</v>
      </c>
      <c r="M3" s="10" t="s">
        <v>12</v>
      </c>
      <c r="N3" s="9" t="s">
        <v>11</v>
      </c>
      <c r="R3" t="s">
        <v>0</v>
      </c>
      <c r="T3" s="2"/>
    </row>
    <row r="4" spans="2:32" ht="22.2" customHeight="1" x14ac:dyDescent="0.3">
      <c r="B4" s="6">
        <v>0.5</v>
      </c>
      <c r="C4" s="1">
        <f>C3*$B$4</f>
        <v>80.5</v>
      </c>
      <c r="D4" s="1">
        <f t="shared" ref="D4:F4" si="0">D3*$B$4</f>
        <v>160.5</v>
      </c>
      <c r="E4" s="1">
        <f t="shared" si="0"/>
        <v>144.5</v>
      </c>
      <c r="F4" s="1">
        <f t="shared" si="0"/>
        <v>107</v>
      </c>
      <c r="I4" s="11" t="s">
        <v>21</v>
      </c>
      <c r="J4" s="9" t="s">
        <v>3</v>
      </c>
      <c r="K4" s="10" t="s">
        <v>12</v>
      </c>
      <c r="L4" s="9" t="s">
        <v>4</v>
      </c>
      <c r="M4" s="10" t="s">
        <v>12</v>
      </c>
      <c r="N4" s="9" t="s">
        <v>11</v>
      </c>
      <c r="R4" t="s">
        <v>2</v>
      </c>
      <c r="AB4" s="9"/>
      <c r="AC4" s="10"/>
      <c r="AD4" s="9"/>
      <c r="AE4" s="10"/>
      <c r="AF4" s="9"/>
    </row>
    <row r="5" spans="2:32" ht="22.2" customHeight="1" x14ac:dyDescent="0.3">
      <c r="B5" s="6">
        <v>0.3</v>
      </c>
      <c r="C5" s="1">
        <f>C3*$B$5</f>
        <v>48.3</v>
      </c>
      <c r="D5" s="1">
        <f t="shared" ref="D5:F5" si="1">D3*$B$5</f>
        <v>96.3</v>
      </c>
      <c r="E5" s="1">
        <f t="shared" si="1"/>
        <v>86.7</v>
      </c>
      <c r="F5" s="1">
        <f t="shared" si="1"/>
        <v>64.2</v>
      </c>
      <c r="I5" s="11" t="s">
        <v>14</v>
      </c>
      <c r="J5" s="9" t="s">
        <v>3</v>
      </c>
      <c r="K5" s="10" t="s">
        <v>12</v>
      </c>
      <c r="L5" s="9" t="s">
        <v>4</v>
      </c>
      <c r="M5" s="10" t="s">
        <v>12</v>
      </c>
      <c r="N5" s="9" t="s">
        <v>11</v>
      </c>
      <c r="R5" t="s">
        <v>1</v>
      </c>
    </row>
    <row r="6" spans="2:32" ht="22.2" customHeight="1" x14ac:dyDescent="0.3">
      <c r="B6" s="6">
        <v>0.15</v>
      </c>
      <c r="C6" s="1">
        <f>C3*$B$6</f>
        <v>24.15</v>
      </c>
      <c r="D6" s="1">
        <f t="shared" ref="D6:F6" si="2">D3*$B$6</f>
        <v>48.15</v>
      </c>
      <c r="E6" s="1">
        <f t="shared" si="2"/>
        <v>43.35</v>
      </c>
      <c r="F6" s="1">
        <f t="shared" si="2"/>
        <v>32.1</v>
      </c>
      <c r="I6" s="11" t="s">
        <v>15</v>
      </c>
      <c r="J6" s="9" t="s">
        <v>3</v>
      </c>
      <c r="K6" s="10" t="s">
        <v>12</v>
      </c>
      <c r="L6" s="9" t="s">
        <v>4</v>
      </c>
      <c r="M6" s="10" t="s">
        <v>12</v>
      </c>
      <c r="N6" s="9" t="s">
        <v>11</v>
      </c>
      <c r="R6" t="s">
        <v>8</v>
      </c>
    </row>
    <row r="7" spans="2:32" ht="10.199999999999999" customHeight="1" x14ac:dyDescent="0.3">
      <c r="B7" s="7"/>
      <c r="C7" s="8"/>
      <c r="D7" s="8"/>
      <c r="E7" s="8"/>
      <c r="F7" s="8"/>
    </row>
    <row r="8" spans="2:32" ht="24" customHeight="1" x14ac:dyDescent="0.3">
      <c r="B8" s="3" t="s">
        <v>7</v>
      </c>
      <c r="C8" s="4" t="s">
        <v>3</v>
      </c>
      <c r="D8" s="4" t="s">
        <v>4</v>
      </c>
      <c r="E8" s="4" t="s">
        <v>5</v>
      </c>
      <c r="F8" s="4" t="s">
        <v>6</v>
      </c>
      <c r="I8" s="29" t="s">
        <v>16</v>
      </c>
      <c r="J8" s="29"/>
      <c r="K8" s="10"/>
      <c r="L8" s="9" t="s">
        <v>4</v>
      </c>
      <c r="M8" s="10" t="s">
        <v>12</v>
      </c>
      <c r="N8" s="9" t="s">
        <v>11</v>
      </c>
    </row>
    <row r="9" spans="2:32" ht="24" customHeight="1" x14ac:dyDescent="0.3">
      <c r="B9" s="5" t="s">
        <v>2</v>
      </c>
      <c r="C9" s="4">
        <v>116</v>
      </c>
      <c r="D9" s="4">
        <v>232</v>
      </c>
      <c r="E9" s="4">
        <v>209</v>
      </c>
      <c r="F9" s="4">
        <v>155</v>
      </c>
      <c r="I9" s="29" t="s">
        <v>17</v>
      </c>
      <c r="J9" s="29"/>
      <c r="L9" s="9" t="s">
        <v>5</v>
      </c>
      <c r="M9" s="10" t="s">
        <v>12</v>
      </c>
      <c r="N9" s="9" t="s">
        <v>18</v>
      </c>
    </row>
    <row r="10" spans="2:32" ht="24" customHeight="1" x14ac:dyDescent="0.3">
      <c r="B10" s="6">
        <v>0.5</v>
      </c>
      <c r="C10" s="1">
        <f>C9*$B$10</f>
        <v>58</v>
      </c>
      <c r="D10" s="1">
        <f t="shared" ref="D10:F10" si="3">D9*$B$10</f>
        <v>116</v>
      </c>
      <c r="E10" s="1">
        <f t="shared" si="3"/>
        <v>104.5</v>
      </c>
      <c r="F10" s="1">
        <f t="shared" si="3"/>
        <v>77.5</v>
      </c>
      <c r="I10" s="29" t="s">
        <v>26</v>
      </c>
      <c r="J10" s="29"/>
      <c r="L10" s="9" t="s">
        <v>6</v>
      </c>
      <c r="M10" s="10" t="s">
        <v>12</v>
      </c>
      <c r="N10" s="9" t="s">
        <v>19</v>
      </c>
    </row>
    <row r="11" spans="2:32" ht="13.2" customHeight="1" thickBot="1" x14ac:dyDescent="0.35">
      <c r="B11" s="6">
        <v>0.3</v>
      </c>
      <c r="C11" s="1">
        <f>C9*$B$11</f>
        <v>34.799999999999997</v>
      </c>
      <c r="D11" s="1">
        <f t="shared" ref="D11:F11" si="4">D9*$B$11</f>
        <v>69.599999999999994</v>
      </c>
      <c r="E11" s="1">
        <f t="shared" si="4"/>
        <v>62.699999999999996</v>
      </c>
      <c r="F11" s="1">
        <f t="shared" si="4"/>
        <v>46.5</v>
      </c>
    </row>
    <row r="12" spans="2:32" ht="20.25" customHeight="1" x14ac:dyDescent="0.3">
      <c r="B12" s="6">
        <v>0.15</v>
      </c>
      <c r="C12" s="1">
        <f>C9*$B$12</f>
        <v>17.399999999999999</v>
      </c>
      <c r="D12" s="1">
        <f t="shared" ref="D12:F12" si="5">D9*$B$12</f>
        <v>34.799999999999997</v>
      </c>
      <c r="E12" s="1">
        <f t="shared" si="5"/>
        <v>31.349999999999998</v>
      </c>
      <c r="F12" s="1">
        <f t="shared" si="5"/>
        <v>23.25</v>
      </c>
      <c r="I12" s="26" t="s">
        <v>27</v>
      </c>
      <c r="J12" s="27"/>
      <c r="K12" s="27"/>
      <c r="L12" s="27"/>
      <c r="M12" s="27"/>
      <c r="N12" s="27"/>
      <c r="O12" s="28"/>
    </row>
    <row r="13" spans="2:32" ht="15" customHeight="1" thickBot="1" x14ac:dyDescent="0.35">
      <c r="B13" s="8"/>
      <c r="C13" s="8"/>
      <c r="D13" s="8"/>
      <c r="E13" s="8"/>
      <c r="F13" s="8"/>
      <c r="I13" s="30" t="s">
        <v>10</v>
      </c>
      <c r="J13" s="31"/>
      <c r="K13" s="31"/>
      <c r="L13" s="31"/>
      <c r="M13" s="31"/>
      <c r="N13" s="31"/>
      <c r="O13" s="32"/>
    </row>
    <row r="14" spans="2:32" ht="24.6" customHeight="1" x14ac:dyDescent="0.3">
      <c r="B14" s="3" t="s">
        <v>7</v>
      </c>
      <c r="C14" s="4" t="s">
        <v>3</v>
      </c>
      <c r="D14" s="4" t="s">
        <v>4</v>
      </c>
      <c r="E14" s="4" t="s">
        <v>5</v>
      </c>
      <c r="F14" s="4" t="s">
        <v>6</v>
      </c>
      <c r="I14" s="11" t="s">
        <v>20</v>
      </c>
      <c r="J14" s="9"/>
      <c r="K14" s="12"/>
      <c r="L14" s="13" t="s">
        <v>23</v>
      </c>
      <c r="M14" s="12"/>
    </row>
    <row r="15" spans="2:32" ht="24.6" customHeight="1" x14ac:dyDescent="0.3">
      <c r="B15" s="5" t="s">
        <v>1</v>
      </c>
      <c r="C15" s="4">
        <v>96</v>
      </c>
      <c r="D15" s="4">
        <v>192</v>
      </c>
      <c r="E15" s="4">
        <v>173</v>
      </c>
      <c r="F15" s="4">
        <v>128</v>
      </c>
      <c r="I15" s="11" t="s">
        <v>21</v>
      </c>
      <c r="J15" s="9"/>
      <c r="K15" s="12"/>
      <c r="L15" s="13" t="s">
        <v>23</v>
      </c>
      <c r="M15" s="12"/>
    </row>
    <row r="16" spans="2:32" ht="24.6" customHeight="1" x14ac:dyDescent="0.3">
      <c r="B16" s="6">
        <v>0.5</v>
      </c>
      <c r="C16" s="1">
        <f>C15*$B$16</f>
        <v>48</v>
      </c>
      <c r="D16" s="1">
        <f t="shared" ref="D16:F16" si="6">D15*$B$16</f>
        <v>96</v>
      </c>
      <c r="E16" s="1">
        <f t="shared" si="6"/>
        <v>86.5</v>
      </c>
      <c r="F16" s="1">
        <f t="shared" si="6"/>
        <v>64</v>
      </c>
      <c r="I16" s="11" t="s">
        <v>14</v>
      </c>
      <c r="J16" s="9"/>
      <c r="K16" s="12"/>
      <c r="L16" s="13" t="s">
        <v>23</v>
      </c>
      <c r="M16" s="12"/>
    </row>
    <row r="17" spans="2:14" ht="24.6" customHeight="1" x14ac:dyDescent="0.3">
      <c r="B17" s="6">
        <v>0.3</v>
      </c>
      <c r="C17" s="1">
        <f>C15*$B$17</f>
        <v>28.799999999999997</v>
      </c>
      <c r="D17" s="1">
        <f t="shared" ref="D17:F17" si="7">D15*$B$17</f>
        <v>57.599999999999994</v>
      </c>
      <c r="E17" s="1">
        <f t="shared" si="7"/>
        <v>51.9</v>
      </c>
      <c r="F17" s="1">
        <f t="shared" si="7"/>
        <v>38.4</v>
      </c>
      <c r="I17" s="11" t="s">
        <v>15</v>
      </c>
      <c r="J17" s="9"/>
      <c r="K17" s="12"/>
      <c r="L17" s="13" t="s">
        <v>23</v>
      </c>
      <c r="M17" s="12"/>
    </row>
    <row r="18" spans="2:14" ht="24.6" customHeight="1" x14ac:dyDescent="0.3">
      <c r="B18" s="6">
        <v>0.15</v>
      </c>
      <c r="C18" s="1">
        <f>C15*$B$18</f>
        <v>14.399999999999999</v>
      </c>
      <c r="D18" s="1">
        <f t="shared" ref="D18:F18" si="8">D15*$B$18</f>
        <v>28.799999999999997</v>
      </c>
      <c r="E18" s="1">
        <f t="shared" si="8"/>
        <v>25.95</v>
      </c>
      <c r="F18" s="1">
        <f t="shared" si="8"/>
        <v>19.2</v>
      </c>
      <c r="I18" s="29" t="s">
        <v>16</v>
      </c>
      <c r="J18" s="29"/>
      <c r="K18" s="12"/>
      <c r="L18" s="13" t="s">
        <v>23</v>
      </c>
      <c r="M18" s="12"/>
    </row>
    <row r="19" spans="2:14" ht="24.6" customHeight="1" x14ac:dyDescent="0.3"/>
    <row r="20" spans="2:14" ht="24.6" customHeight="1" x14ac:dyDescent="0.3">
      <c r="B20" s="3" t="s">
        <v>7</v>
      </c>
      <c r="C20" s="4" t="s">
        <v>3</v>
      </c>
      <c r="D20" s="4" t="s">
        <v>4</v>
      </c>
      <c r="E20" s="4" t="s">
        <v>5</v>
      </c>
      <c r="F20" s="4" t="s">
        <v>6</v>
      </c>
      <c r="I20" s="29" t="s">
        <v>17</v>
      </c>
      <c r="J20" s="29"/>
      <c r="L20" s="13" t="s">
        <v>24</v>
      </c>
      <c r="M20" s="10"/>
      <c r="N20" s="9"/>
    </row>
    <row r="21" spans="2:14" ht="24.6" customHeight="1" x14ac:dyDescent="0.3">
      <c r="B21" s="5" t="s">
        <v>8</v>
      </c>
      <c r="C21" s="4">
        <v>112</v>
      </c>
      <c r="D21" s="4">
        <v>223</v>
      </c>
      <c r="E21" s="4">
        <v>201</v>
      </c>
      <c r="F21" s="4">
        <v>149</v>
      </c>
      <c r="I21" s="29" t="s">
        <v>26</v>
      </c>
      <c r="J21" s="29"/>
      <c r="L21" s="13" t="s">
        <v>25</v>
      </c>
      <c r="M21" s="10"/>
      <c r="N21" s="9"/>
    </row>
    <row r="22" spans="2:14" ht="20.25" customHeight="1" x14ac:dyDescent="0.3">
      <c r="B22" s="6">
        <v>0.5</v>
      </c>
      <c r="C22" s="1">
        <f>C21*$B$22</f>
        <v>56</v>
      </c>
      <c r="D22" s="1">
        <f t="shared" ref="D22:F22" si="9">D21*$B$22</f>
        <v>111.5</v>
      </c>
      <c r="E22" s="1">
        <f t="shared" si="9"/>
        <v>100.5</v>
      </c>
      <c r="F22" s="1">
        <f t="shared" si="9"/>
        <v>74.5</v>
      </c>
    </row>
    <row r="23" spans="2:14" ht="20.25" customHeight="1" x14ac:dyDescent="0.3">
      <c r="B23" s="6">
        <v>0.3</v>
      </c>
      <c r="C23" s="1">
        <f>C21*$B$23</f>
        <v>33.6</v>
      </c>
      <c r="D23" s="1">
        <f t="shared" ref="D23:F23" si="10">D21*$B$23</f>
        <v>66.899999999999991</v>
      </c>
      <c r="E23" s="1">
        <f t="shared" si="10"/>
        <v>60.3</v>
      </c>
      <c r="F23" s="1">
        <f t="shared" si="10"/>
        <v>44.699999999999996</v>
      </c>
    </row>
    <row r="24" spans="2:14" ht="20.25" customHeight="1" x14ac:dyDescent="0.3">
      <c r="B24" s="6">
        <v>0.15</v>
      </c>
      <c r="C24" s="1">
        <f>C21*$B$24</f>
        <v>16.8</v>
      </c>
      <c r="D24" s="1">
        <f t="shared" ref="D24:F24" si="11">D21*$B$24</f>
        <v>33.449999999999996</v>
      </c>
      <c r="E24" s="1">
        <f t="shared" si="11"/>
        <v>30.15</v>
      </c>
      <c r="F24" s="1">
        <f t="shared" si="11"/>
        <v>22.349999999999998</v>
      </c>
    </row>
    <row r="26" spans="2:14" x14ac:dyDescent="0.3">
      <c r="B26" s="3" t="s">
        <v>7</v>
      </c>
      <c r="C26" s="4" t="s">
        <v>3</v>
      </c>
      <c r="D26" s="4" t="s">
        <v>4</v>
      </c>
      <c r="E26" s="4" t="s">
        <v>5</v>
      </c>
      <c r="F26" s="4" t="s">
        <v>6</v>
      </c>
    </row>
    <row r="27" spans="2:14" x14ac:dyDescent="0.3">
      <c r="B27" s="5" t="s">
        <v>9</v>
      </c>
      <c r="C27" s="4">
        <v>112</v>
      </c>
      <c r="D27" s="4">
        <v>223</v>
      </c>
      <c r="E27" s="4">
        <v>201</v>
      </c>
      <c r="F27" s="4">
        <v>149</v>
      </c>
    </row>
    <row r="28" spans="2:14" ht="20.25" customHeight="1" x14ac:dyDescent="0.3">
      <c r="B28" s="6">
        <v>0.5</v>
      </c>
      <c r="C28" s="1">
        <f>C27*$B$28</f>
        <v>56</v>
      </c>
      <c r="D28" s="1">
        <f t="shared" ref="D28:F28" si="12">D27*$B$28</f>
        <v>111.5</v>
      </c>
      <c r="E28" s="1">
        <f t="shared" si="12"/>
        <v>100.5</v>
      </c>
      <c r="F28" s="1">
        <f t="shared" si="12"/>
        <v>74.5</v>
      </c>
    </row>
    <row r="29" spans="2:14" ht="20.25" customHeight="1" x14ac:dyDescent="0.3">
      <c r="B29" s="6">
        <v>0.3</v>
      </c>
      <c r="C29" s="1">
        <f>C27*$B$29</f>
        <v>33.6</v>
      </c>
      <c r="D29" s="1">
        <f t="shared" ref="D29:F29" si="13">D27*$B$29</f>
        <v>66.899999999999991</v>
      </c>
      <c r="E29" s="1">
        <f t="shared" si="13"/>
        <v>60.3</v>
      </c>
      <c r="F29" s="1">
        <f t="shared" si="13"/>
        <v>44.699999999999996</v>
      </c>
    </row>
    <row r="30" spans="2:14" ht="20.25" customHeight="1" x14ac:dyDescent="0.3">
      <c r="B30" s="6">
        <v>0.15</v>
      </c>
      <c r="C30" s="1">
        <f>C27*$B$30</f>
        <v>16.8</v>
      </c>
      <c r="D30" s="1">
        <f t="shared" ref="D30:F30" si="14">D27*$B$30</f>
        <v>33.449999999999996</v>
      </c>
      <c r="E30" s="1">
        <f t="shared" si="14"/>
        <v>30.15</v>
      </c>
      <c r="F30" s="1">
        <f t="shared" si="14"/>
        <v>22.349999999999998</v>
      </c>
    </row>
    <row r="33" spans="2:6" x14ac:dyDescent="0.3">
      <c r="B33" s="3" t="s">
        <v>7</v>
      </c>
      <c r="C33" s="4" t="s">
        <v>3</v>
      </c>
      <c r="D33" s="4" t="s">
        <v>4</v>
      </c>
      <c r="E33" s="4" t="s">
        <v>5</v>
      </c>
      <c r="F33" s="4" t="s">
        <v>6</v>
      </c>
    </row>
    <row r="34" spans="2:6" x14ac:dyDescent="0.3">
      <c r="B34" s="5" t="s">
        <v>35</v>
      </c>
      <c r="C34" s="4">
        <v>118</v>
      </c>
      <c r="D34" s="4">
        <v>236</v>
      </c>
      <c r="E34" s="4">
        <v>212</v>
      </c>
      <c r="F34" s="4">
        <v>157</v>
      </c>
    </row>
    <row r="35" spans="2:6" x14ac:dyDescent="0.3">
      <c r="B35" s="6">
        <v>0.5</v>
      </c>
      <c r="C35" s="1">
        <f>C34*$B$28</f>
        <v>59</v>
      </c>
      <c r="D35" s="1">
        <f t="shared" ref="D35:F35" si="15">D34*$B$28</f>
        <v>118</v>
      </c>
      <c r="E35" s="1">
        <f>E34*$B$28</f>
        <v>106</v>
      </c>
      <c r="F35" s="1">
        <f t="shared" si="15"/>
        <v>78.5</v>
      </c>
    </row>
    <row r="36" spans="2:6" x14ac:dyDescent="0.3">
      <c r="B36" s="6">
        <v>0.3</v>
      </c>
      <c r="C36" s="1">
        <f>C34*$B$29</f>
        <v>35.4</v>
      </c>
      <c r="D36" s="1">
        <f t="shared" ref="D36:F36" si="16">D34*$B$29</f>
        <v>70.8</v>
      </c>
      <c r="E36" s="1">
        <f>E34*$B$29</f>
        <v>63.599999999999994</v>
      </c>
      <c r="F36" s="1">
        <f t="shared" si="16"/>
        <v>47.1</v>
      </c>
    </row>
    <row r="37" spans="2:6" x14ac:dyDescent="0.3">
      <c r="B37" s="6">
        <v>0.15</v>
      </c>
      <c r="C37" s="1">
        <f>C34*$B$30</f>
        <v>17.7</v>
      </c>
      <c r="D37" s="1">
        <f t="shared" ref="D37:F37" si="17">D34*$B$30</f>
        <v>35.4</v>
      </c>
      <c r="E37" s="1">
        <f>E34*$B$30</f>
        <v>31.799999999999997</v>
      </c>
      <c r="F37" s="1">
        <f t="shared" si="17"/>
        <v>23.55</v>
      </c>
    </row>
    <row r="39" spans="2:6" x14ac:dyDescent="0.3">
      <c r="B39" s="3" t="s">
        <v>7</v>
      </c>
      <c r="C39" s="4" t="s">
        <v>3</v>
      </c>
      <c r="D39" s="4" t="s">
        <v>4</v>
      </c>
      <c r="E39" s="4" t="s">
        <v>5</v>
      </c>
      <c r="F39" s="4" t="s">
        <v>6</v>
      </c>
    </row>
    <row r="40" spans="2:6" x14ac:dyDescent="0.3">
      <c r="B40" s="5" t="s">
        <v>35</v>
      </c>
      <c r="C40" s="4">
        <v>77</v>
      </c>
      <c r="D40" s="4">
        <v>154</v>
      </c>
      <c r="E40" s="4">
        <v>139</v>
      </c>
      <c r="F40" s="4">
        <v>103</v>
      </c>
    </row>
    <row r="41" spans="2:6" x14ac:dyDescent="0.3">
      <c r="B41" s="6">
        <v>0.5</v>
      </c>
      <c r="C41" s="1">
        <f>C40*$B$28</f>
        <v>38.5</v>
      </c>
      <c r="D41" s="1">
        <f t="shared" ref="D41" si="18">D40*$B$28</f>
        <v>77</v>
      </c>
      <c r="E41" s="1">
        <f>E40*$B$28</f>
        <v>69.5</v>
      </c>
      <c r="F41" s="1">
        <f t="shared" ref="F41" si="19">F40*$B$28</f>
        <v>51.5</v>
      </c>
    </row>
    <row r="42" spans="2:6" x14ac:dyDescent="0.3">
      <c r="B42" s="6">
        <v>0.3</v>
      </c>
      <c r="C42" s="1">
        <f>C40*$B$29</f>
        <v>23.099999999999998</v>
      </c>
      <c r="D42" s="1">
        <f t="shared" ref="D42" si="20">D40*$B$29</f>
        <v>46.199999999999996</v>
      </c>
      <c r="E42" s="1">
        <f>E40*$B$29</f>
        <v>41.699999999999996</v>
      </c>
      <c r="F42" s="1">
        <f t="shared" ref="F42" si="21">F40*$B$29</f>
        <v>30.9</v>
      </c>
    </row>
    <row r="43" spans="2:6" x14ac:dyDescent="0.3">
      <c r="B43" s="6">
        <v>0.15</v>
      </c>
      <c r="C43" s="1">
        <f>C40*$B$30</f>
        <v>11.549999999999999</v>
      </c>
      <c r="D43" s="1">
        <f t="shared" ref="D43" si="22">D40*$B$30</f>
        <v>23.099999999999998</v>
      </c>
      <c r="E43" s="1">
        <f>E40*$B$30</f>
        <v>20.849999999999998</v>
      </c>
      <c r="F43" s="1">
        <f t="shared" ref="F43" si="23">F40*$B$30</f>
        <v>15.45</v>
      </c>
    </row>
  </sheetData>
  <mergeCells count="10">
    <mergeCell ref="I13:O13"/>
    <mergeCell ref="I18:J18"/>
    <mergeCell ref="I20:J20"/>
    <mergeCell ref="I21:J21"/>
    <mergeCell ref="I2:O2"/>
    <mergeCell ref="I1:O1"/>
    <mergeCell ref="I8:J8"/>
    <mergeCell ref="I9:J9"/>
    <mergeCell ref="I10:J10"/>
    <mergeCell ref="I12:O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tabSelected="1" workbookViewId="0">
      <selection activeCell="E16" sqref="D16:E16"/>
    </sheetView>
  </sheetViews>
  <sheetFormatPr defaultRowHeight="14.4" x14ac:dyDescent="0.3"/>
  <cols>
    <col min="1" max="1" width="4.109375" customWidth="1"/>
    <col min="2" max="2" width="14.6640625" style="14" bestFit="1" customWidth="1"/>
    <col min="3" max="3" width="11.44140625" style="14" bestFit="1" customWidth="1"/>
    <col min="4" max="4" width="9.21875" style="14" bestFit="1" customWidth="1"/>
    <col min="5" max="5" width="10.21875" style="14" bestFit="1" customWidth="1"/>
    <col min="6" max="6" width="10" style="14" bestFit="1" customWidth="1"/>
  </cols>
  <sheetData>
    <row r="2" spans="2:6" ht="17.399999999999999" x14ac:dyDescent="0.3">
      <c r="B2" s="17" t="s">
        <v>7</v>
      </c>
      <c r="C2" s="18" t="s">
        <v>3</v>
      </c>
      <c r="D2" s="18" t="s">
        <v>4</v>
      </c>
      <c r="E2" s="18" t="s">
        <v>5</v>
      </c>
      <c r="F2" s="18" t="s">
        <v>6</v>
      </c>
    </row>
    <row r="3" spans="2:6" ht="17.399999999999999" x14ac:dyDescent="0.3">
      <c r="B3" s="19" t="s">
        <v>36</v>
      </c>
      <c r="C3" s="18">
        <v>154</v>
      </c>
      <c r="D3" s="18">
        <v>309</v>
      </c>
      <c r="E3" s="18">
        <v>278</v>
      </c>
      <c r="F3" s="18">
        <v>209</v>
      </c>
    </row>
    <row r="4" spans="2:6" ht="18" x14ac:dyDescent="0.3">
      <c r="B4" s="20">
        <v>0.5</v>
      </c>
      <c r="C4" s="21">
        <f>C3*B4</f>
        <v>77</v>
      </c>
      <c r="D4" s="21">
        <f>D3*B4</f>
        <v>154.5</v>
      </c>
      <c r="E4" s="21">
        <f>E3*B4</f>
        <v>139</v>
      </c>
      <c r="F4" s="21">
        <f>F3*B4</f>
        <v>104.5</v>
      </c>
    </row>
    <row r="5" spans="2:6" ht="18" x14ac:dyDescent="0.3">
      <c r="B5" s="20">
        <v>0.3</v>
      </c>
      <c r="C5" s="21">
        <f>C3*B5</f>
        <v>46.199999999999996</v>
      </c>
      <c r="D5" s="21">
        <f>D3*B5</f>
        <v>92.7</v>
      </c>
      <c r="E5" s="21">
        <f>E3*B5</f>
        <v>83.399999999999991</v>
      </c>
      <c r="F5" s="21">
        <f>F3*B5</f>
        <v>62.699999999999996</v>
      </c>
    </row>
    <row r="6" spans="2:6" ht="18" x14ac:dyDescent="0.3">
      <c r="B6" s="20">
        <v>0.15</v>
      </c>
      <c r="C6" s="21">
        <f>C3*B6</f>
        <v>23.099999999999998</v>
      </c>
      <c r="D6" s="21">
        <f>D3*B6</f>
        <v>46.35</v>
      </c>
      <c r="E6" s="21">
        <f>E3*B6</f>
        <v>41.699999999999996</v>
      </c>
      <c r="F6" s="21">
        <f>F3*B6</f>
        <v>31.349999999999998</v>
      </c>
    </row>
    <row r="8" spans="2:6" ht="16.8" x14ac:dyDescent="0.3">
      <c r="B8" s="34" t="s">
        <v>39</v>
      </c>
      <c r="C8" s="35"/>
      <c r="D8" s="35"/>
      <c r="E8" s="35"/>
      <c r="F8" s="35"/>
    </row>
    <row r="9" spans="2:6" ht="18" x14ac:dyDescent="0.35">
      <c r="B9" s="22" t="s">
        <v>33</v>
      </c>
      <c r="C9" s="25">
        <f>C3+D3+D6</f>
        <v>509.35</v>
      </c>
      <c r="D9" s="23"/>
    </row>
    <row r="10" spans="2:6" ht="18" x14ac:dyDescent="0.35">
      <c r="B10" s="22" t="s">
        <v>22</v>
      </c>
      <c r="C10" s="25">
        <f>D5</f>
        <v>92.7</v>
      </c>
      <c r="D10" s="23"/>
    </row>
    <row r="11" spans="2:6" ht="18" x14ac:dyDescent="0.35">
      <c r="B11" s="22" t="s">
        <v>34</v>
      </c>
      <c r="C11" s="25">
        <f>D5</f>
        <v>92.7</v>
      </c>
      <c r="D11" s="23"/>
    </row>
    <row r="12" spans="2:6" ht="18" x14ac:dyDescent="0.35">
      <c r="B12" s="24">
        <v>0.5</v>
      </c>
      <c r="C12" s="25">
        <f>D4</f>
        <v>154.5</v>
      </c>
      <c r="D12" s="23"/>
    </row>
    <row r="13" spans="2:6" ht="18" x14ac:dyDescent="0.35">
      <c r="B13" s="22"/>
      <c r="C13" s="25"/>
      <c r="D13" s="22"/>
      <c r="E13" s="15"/>
      <c r="F13" s="16"/>
    </row>
    <row r="14" spans="2:6" ht="18" x14ac:dyDescent="0.35">
      <c r="B14" s="22" t="s">
        <v>37</v>
      </c>
      <c r="C14" s="33">
        <v>4</v>
      </c>
      <c r="D14" s="22"/>
      <c r="E14" s="15"/>
      <c r="F14" s="16"/>
    </row>
    <row r="15" spans="2:6" ht="18" x14ac:dyDescent="0.35">
      <c r="B15" s="22" t="s">
        <v>38</v>
      </c>
      <c r="C15" s="25"/>
      <c r="D15" s="22"/>
    </row>
    <row r="16" spans="2:6" ht="18" x14ac:dyDescent="0.35">
      <c r="B16" s="22" t="s">
        <v>33</v>
      </c>
      <c r="C16" s="25">
        <f>C9*C14</f>
        <v>2037.4</v>
      </c>
      <c r="D16" s="22"/>
    </row>
    <row r="17" spans="2:4" ht="18" x14ac:dyDescent="0.35">
      <c r="B17" s="22" t="s">
        <v>22</v>
      </c>
      <c r="C17" s="25">
        <f>C10*C14</f>
        <v>370.8</v>
      </c>
      <c r="D17" s="2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Hassan Farooq Dar</cp:lastModifiedBy>
  <cp:lastPrinted>2019-10-01T04:59:24Z</cp:lastPrinted>
  <dcterms:created xsi:type="dcterms:W3CDTF">2015-11-21T00:41:10Z</dcterms:created>
  <dcterms:modified xsi:type="dcterms:W3CDTF">2025-04-10T07:07:11Z</dcterms:modified>
</cp:coreProperties>
</file>