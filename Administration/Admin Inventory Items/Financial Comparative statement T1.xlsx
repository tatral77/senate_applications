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azzam\Tenders 25-26\T1\financial\"/>
    </mc:Choice>
  </mc:AlternateContent>
  <bookViews>
    <workbookView xWindow="0" yWindow="0" windowWidth="20490" windowHeight="7755" activeTab="3"/>
  </bookViews>
  <sheets>
    <sheet name="LOT 1" sheetId="1" r:id="rId1"/>
    <sheet name="LOT 2" sheetId="2" r:id="rId2"/>
    <sheet name="LOT 3" sheetId="3" r:id="rId3"/>
    <sheet name="LOT 4" sheetId="4" r:id="rId4"/>
  </sheets>
  <definedNames>
    <definedName name="_xlnm.Print_Area" localSheetId="0">'LOT 1'!$A$1:$J$138</definedName>
    <definedName name="_xlnm.Print_Area" localSheetId="2">'LOT 3'!$A$1:$H$30</definedName>
    <definedName name="_xlnm.Print_Area" localSheetId="3">'LOT 4'!$A$1:$J$115</definedName>
    <definedName name="_xlnm.Print_Titles" localSheetId="0">'LOT 1'!$4:$6</definedName>
    <definedName name="_xlnm.Print_Titles" localSheetId="1">'LOT 2'!$5:$5</definedName>
    <definedName name="_xlnm.Print_Titles" localSheetId="3">'LOT 4'!$6:$6</definedName>
  </definedNames>
  <calcPr calcId="152511"/>
</workbook>
</file>

<file path=xl/calcChain.xml><?xml version="1.0" encoding="utf-8"?>
<calcChain xmlns="http://schemas.openxmlformats.org/spreadsheetml/2006/main">
  <c r="I101" i="4" l="1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G8" i="4"/>
  <c r="H8" i="4" s="1"/>
  <c r="G9" i="4"/>
  <c r="H9" i="4" s="1"/>
  <c r="G10" i="4"/>
  <c r="H10" i="4" s="1"/>
  <c r="G11" i="4"/>
  <c r="H11" i="4" s="1"/>
  <c r="G12" i="4"/>
  <c r="H12" i="4" s="1"/>
  <c r="G13" i="4"/>
  <c r="G14" i="4"/>
  <c r="H14" i="4" s="1"/>
  <c r="G15" i="4"/>
  <c r="H15" i="4" s="1"/>
  <c r="G16" i="4"/>
  <c r="H16" i="4" s="1"/>
  <c r="G17" i="4"/>
  <c r="H17" i="4" s="1"/>
  <c r="G18" i="4"/>
  <c r="H18" i="4" s="1"/>
  <c r="G19" i="4"/>
  <c r="G20" i="4"/>
  <c r="H20" i="4" s="1"/>
  <c r="G21" i="4"/>
  <c r="H21" i="4" s="1"/>
  <c r="G22" i="4"/>
  <c r="H22" i="4" s="1"/>
  <c r="G23" i="4"/>
  <c r="H23" i="4" s="1"/>
  <c r="G24" i="4"/>
  <c r="H24" i="4" s="1"/>
  <c r="G25" i="4"/>
  <c r="G26" i="4"/>
  <c r="H26" i="4" s="1"/>
  <c r="G27" i="4"/>
  <c r="H27" i="4" s="1"/>
  <c r="G28" i="4"/>
  <c r="H28" i="4" s="1"/>
  <c r="G29" i="4"/>
  <c r="H29" i="4" s="1"/>
  <c r="G30" i="4"/>
  <c r="H30" i="4" s="1"/>
  <c r="G31" i="4"/>
  <c r="G32" i="4"/>
  <c r="H32" i="4" s="1"/>
  <c r="G33" i="4"/>
  <c r="H33" i="4" s="1"/>
  <c r="G34" i="4"/>
  <c r="H34" i="4" s="1"/>
  <c r="G35" i="4"/>
  <c r="H35" i="4" s="1"/>
  <c r="G36" i="4"/>
  <c r="H36" i="4" s="1"/>
  <c r="G37" i="4"/>
  <c r="G38" i="4"/>
  <c r="H38" i="4" s="1"/>
  <c r="G39" i="4"/>
  <c r="H39" i="4" s="1"/>
  <c r="G40" i="4"/>
  <c r="H40" i="4" s="1"/>
  <c r="G41" i="4"/>
  <c r="H41" i="4" s="1"/>
  <c r="G42" i="4"/>
  <c r="H42" i="4" s="1"/>
  <c r="G43" i="4"/>
  <c r="G44" i="4"/>
  <c r="H44" i="4" s="1"/>
  <c r="G45" i="4"/>
  <c r="H45" i="4" s="1"/>
  <c r="G46" i="4"/>
  <c r="H46" i="4" s="1"/>
  <c r="G47" i="4"/>
  <c r="H47" i="4" s="1"/>
  <c r="G48" i="4"/>
  <c r="H48" i="4" s="1"/>
  <c r="G49" i="4"/>
  <c r="G50" i="4"/>
  <c r="H50" i="4" s="1"/>
  <c r="G51" i="4"/>
  <c r="H51" i="4" s="1"/>
  <c r="G52" i="4"/>
  <c r="H52" i="4" s="1"/>
  <c r="G53" i="4"/>
  <c r="H53" i="4" s="1"/>
  <c r="G54" i="4"/>
  <c r="H54" i="4" s="1"/>
  <c r="G55" i="4"/>
  <c r="G56" i="4"/>
  <c r="H56" i="4" s="1"/>
  <c r="G57" i="4"/>
  <c r="H57" i="4" s="1"/>
  <c r="G58" i="4"/>
  <c r="H58" i="4" s="1"/>
  <c r="G59" i="4"/>
  <c r="H59" i="4" s="1"/>
  <c r="G60" i="4"/>
  <c r="H60" i="4" s="1"/>
  <c r="G61" i="4"/>
  <c r="G62" i="4"/>
  <c r="H62" i="4" s="1"/>
  <c r="G63" i="4"/>
  <c r="H63" i="4" s="1"/>
  <c r="G64" i="4"/>
  <c r="H64" i="4" s="1"/>
  <c r="G65" i="4"/>
  <c r="H65" i="4" s="1"/>
  <c r="G66" i="4"/>
  <c r="H66" i="4" s="1"/>
  <c r="G67" i="4"/>
  <c r="G68" i="4"/>
  <c r="H68" i="4" s="1"/>
  <c r="G69" i="4"/>
  <c r="H69" i="4" s="1"/>
  <c r="G70" i="4"/>
  <c r="H70" i="4" s="1"/>
  <c r="G71" i="4"/>
  <c r="H71" i="4" s="1"/>
  <c r="G72" i="4"/>
  <c r="H72" i="4" s="1"/>
  <c r="G73" i="4"/>
  <c r="G74" i="4"/>
  <c r="H74" i="4" s="1"/>
  <c r="G75" i="4"/>
  <c r="H75" i="4" s="1"/>
  <c r="G76" i="4"/>
  <c r="H76" i="4" s="1"/>
  <c r="G77" i="4"/>
  <c r="H77" i="4" s="1"/>
  <c r="G78" i="4"/>
  <c r="H78" i="4" s="1"/>
  <c r="G79" i="4"/>
  <c r="G80" i="4"/>
  <c r="H80" i="4" s="1"/>
  <c r="G81" i="4"/>
  <c r="H81" i="4" s="1"/>
  <c r="G82" i="4"/>
  <c r="H82" i="4" s="1"/>
  <c r="G83" i="4"/>
  <c r="H83" i="4" s="1"/>
  <c r="G84" i="4"/>
  <c r="H84" i="4" s="1"/>
  <c r="G85" i="4"/>
  <c r="G86" i="4"/>
  <c r="H86" i="4" s="1"/>
  <c r="G87" i="4"/>
  <c r="H87" i="4" s="1"/>
  <c r="G88" i="4"/>
  <c r="H88" i="4" s="1"/>
  <c r="G89" i="4"/>
  <c r="H89" i="4" s="1"/>
  <c r="G90" i="4"/>
  <c r="H90" i="4" s="1"/>
  <c r="G91" i="4"/>
  <c r="G92" i="4"/>
  <c r="H92" i="4" s="1"/>
  <c r="G93" i="4"/>
  <c r="H93" i="4" s="1"/>
  <c r="G94" i="4"/>
  <c r="H94" i="4" s="1"/>
  <c r="G95" i="4"/>
  <c r="H95" i="4" s="1"/>
  <c r="G96" i="4"/>
  <c r="H96" i="4" s="1"/>
  <c r="G97" i="4"/>
  <c r="G98" i="4"/>
  <c r="H98" i="4" s="1"/>
  <c r="G99" i="4"/>
  <c r="H99" i="4" s="1"/>
  <c r="G100" i="4"/>
  <c r="H100" i="4" s="1"/>
  <c r="G7" i="4"/>
  <c r="H7" i="4" s="1"/>
  <c r="J7" i="4"/>
  <c r="H13" i="4"/>
  <c r="H19" i="4"/>
  <c r="H25" i="4"/>
  <c r="H31" i="4"/>
  <c r="H37" i="4"/>
  <c r="H43" i="4"/>
  <c r="H49" i="4"/>
  <c r="H55" i="4"/>
  <c r="H61" i="4"/>
  <c r="H67" i="4"/>
  <c r="H73" i="4"/>
  <c r="H79" i="4"/>
  <c r="H85" i="4"/>
  <c r="H91" i="4"/>
  <c r="H9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7" i="4"/>
  <c r="H7" i="3"/>
  <c r="H8" i="3"/>
  <c r="H9" i="3"/>
  <c r="H10" i="3"/>
  <c r="H11" i="3"/>
  <c r="H12" i="3"/>
  <c r="H13" i="3"/>
  <c r="H14" i="3"/>
  <c r="H15" i="3"/>
  <c r="F7" i="3"/>
  <c r="F8" i="3"/>
  <c r="F9" i="3"/>
  <c r="F10" i="3"/>
  <c r="F11" i="3"/>
  <c r="F12" i="3"/>
  <c r="F13" i="3"/>
  <c r="F14" i="3"/>
  <c r="F15" i="3"/>
  <c r="H6" i="3"/>
  <c r="F6" i="3"/>
  <c r="F7" i="2"/>
  <c r="F8" i="2"/>
  <c r="F9" i="2"/>
  <c r="F10" i="2"/>
  <c r="H7" i="2"/>
  <c r="H8" i="2"/>
  <c r="H9" i="2"/>
  <c r="H10" i="2"/>
  <c r="H11" i="2"/>
  <c r="H12" i="2"/>
  <c r="H13" i="2"/>
  <c r="H14" i="2"/>
  <c r="H15" i="2"/>
  <c r="H16" i="2"/>
  <c r="F11" i="2"/>
  <c r="F12" i="2"/>
  <c r="F13" i="2"/>
  <c r="F14" i="2"/>
  <c r="F15" i="2"/>
  <c r="F16" i="2"/>
  <c r="H6" i="2"/>
  <c r="F6" i="2"/>
  <c r="G101" i="4" l="1"/>
  <c r="E101" i="4"/>
  <c r="E16" i="3"/>
  <c r="G16" i="3"/>
  <c r="G17" i="2"/>
  <c r="E17" i="2"/>
  <c r="G8" i="1"/>
  <c r="H8" i="1" s="1"/>
  <c r="G9" i="1"/>
  <c r="H9" i="1" s="1"/>
  <c r="G10" i="1"/>
  <c r="G11" i="1"/>
  <c r="G12" i="1"/>
  <c r="G13" i="1"/>
  <c r="H13" i="1" s="1"/>
  <c r="G14" i="1"/>
  <c r="H14" i="1" s="1"/>
  <c r="G15" i="1"/>
  <c r="H15" i="1" s="1"/>
  <c r="G16" i="1"/>
  <c r="H16" i="1" s="1"/>
  <c r="G17" i="1"/>
  <c r="G18" i="1"/>
  <c r="G19" i="1"/>
  <c r="H19" i="1" s="1"/>
  <c r="G20" i="1"/>
  <c r="H20" i="1" s="1"/>
  <c r="G21" i="1"/>
  <c r="H21" i="1" s="1"/>
  <c r="G22" i="1"/>
  <c r="H22" i="1" s="1"/>
  <c r="G23" i="1"/>
  <c r="G24" i="1"/>
  <c r="G25" i="1"/>
  <c r="H25" i="1" s="1"/>
  <c r="G26" i="1"/>
  <c r="H26" i="1" s="1"/>
  <c r="G27" i="1"/>
  <c r="G28" i="1"/>
  <c r="G29" i="1"/>
  <c r="G30" i="1"/>
  <c r="G31" i="1"/>
  <c r="H31" i="1" s="1"/>
  <c r="G32" i="1"/>
  <c r="H32" i="1" s="1"/>
  <c r="G33" i="1"/>
  <c r="H33" i="1" s="1"/>
  <c r="G34" i="1"/>
  <c r="H34" i="1" s="1"/>
  <c r="G35" i="1"/>
  <c r="G36" i="1"/>
  <c r="G37" i="1"/>
  <c r="H37" i="1" s="1"/>
  <c r="G38" i="1"/>
  <c r="H38" i="1" s="1"/>
  <c r="G39" i="1"/>
  <c r="H39" i="1" s="1"/>
  <c r="G40" i="1"/>
  <c r="H40" i="1" s="1"/>
  <c r="G41" i="1"/>
  <c r="G42" i="1"/>
  <c r="G43" i="1"/>
  <c r="H43" i="1" s="1"/>
  <c r="G44" i="1"/>
  <c r="H44" i="1" s="1"/>
  <c r="G45" i="1"/>
  <c r="G46" i="1"/>
  <c r="G47" i="1"/>
  <c r="G48" i="1"/>
  <c r="G49" i="1"/>
  <c r="H49" i="1" s="1"/>
  <c r="G50" i="1"/>
  <c r="H50" i="1" s="1"/>
  <c r="G51" i="1"/>
  <c r="H51" i="1" s="1"/>
  <c r="G52" i="1"/>
  <c r="H52" i="1" s="1"/>
  <c r="G53" i="1"/>
  <c r="G54" i="1"/>
  <c r="G55" i="1"/>
  <c r="H55" i="1" s="1"/>
  <c r="G56" i="1"/>
  <c r="H56" i="1" s="1"/>
  <c r="G57" i="1"/>
  <c r="H57" i="1" s="1"/>
  <c r="G58" i="1"/>
  <c r="H58" i="1" s="1"/>
  <c r="G59" i="1"/>
  <c r="G60" i="1"/>
  <c r="G61" i="1"/>
  <c r="H61" i="1" s="1"/>
  <c r="G62" i="1"/>
  <c r="H62" i="1" s="1"/>
  <c r="G63" i="1"/>
  <c r="G64" i="1"/>
  <c r="G65" i="1"/>
  <c r="G66" i="1"/>
  <c r="G67" i="1"/>
  <c r="H67" i="1" s="1"/>
  <c r="G68" i="1"/>
  <c r="H68" i="1" s="1"/>
  <c r="G69" i="1"/>
  <c r="H69" i="1" s="1"/>
  <c r="G70" i="1"/>
  <c r="H70" i="1" s="1"/>
  <c r="G71" i="1"/>
  <c r="G72" i="1"/>
  <c r="G73" i="1"/>
  <c r="H73" i="1" s="1"/>
  <c r="G74" i="1"/>
  <c r="H74" i="1" s="1"/>
  <c r="G75" i="1"/>
  <c r="H75" i="1" s="1"/>
  <c r="G76" i="1"/>
  <c r="H76" i="1" s="1"/>
  <c r="G77" i="1"/>
  <c r="G78" i="1"/>
  <c r="G79" i="1"/>
  <c r="H79" i="1" s="1"/>
  <c r="G80" i="1"/>
  <c r="H80" i="1" s="1"/>
  <c r="G81" i="1"/>
  <c r="G82" i="1"/>
  <c r="G83" i="1"/>
  <c r="G84" i="1"/>
  <c r="G85" i="1"/>
  <c r="H85" i="1" s="1"/>
  <c r="G86" i="1"/>
  <c r="H86" i="1" s="1"/>
  <c r="G87" i="1"/>
  <c r="H87" i="1" s="1"/>
  <c r="G88" i="1"/>
  <c r="H88" i="1" s="1"/>
  <c r="G89" i="1"/>
  <c r="G90" i="1"/>
  <c r="G91" i="1"/>
  <c r="H91" i="1" s="1"/>
  <c r="G92" i="1"/>
  <c r="H92" i="1" s="1"/>
  <c r="G93" i="1"/>
  <c r="H93" i="1" s="1"/>
  <c r="G94" i="1"/>
  <c r="H94" i="1" s="1"/>
  <c r="G95" i="1"/>
  <c r="G96" i="1"/>
  <c r="G97" i="1"/>
  <c r="H97" i="1" s="1"/>
  <c r="G98" i="1"/>
  <c r="H98" i="1" s="1"/>
  <c r="G99" i="1"/>
  <c r="G100" i="1"/>
  <c r="G101" i="1"/>
  <c r="G102" i="1"/>
  <c r="G103" i="1"/>
  <c r="H103" i="1" s="1"/>
  <c r="G104" i="1"/>
  <c r="H104" i="1" s="1"/>
  <c r="G105" i="1"/>
  <c r="H105" i="1" s="1"/>
  <c r="G106" i="1"/>
  <c r="H106" i="1" s="1"/>
  <c r="G107" i="1"/>
  <c r="G108" i="1"/>
  <c r="G109" i="1"/>
  <c r="H109" i="1" s="1"/>
  <c r="G110" i="1"/>
  <c r="H110" i="1" s="1"/>
  <c r="G111" i="1"/>
  <c r="H111" i="1" s="1"/>
  <c r="G112" i="1"/>
  <c r="H112" i="1" s="1"/>
  <c r="G113" i="1"/>
  <c r="G114" i="1"/>
  <c r="H114" i="1" s="1"/>
  <c r="G115" i="1"/>
  <c r="H115" i="1" s="1"/>
  <c r="G116" i="1"/>
  <c r="G117" i="1"/>
  <c r="G118" i="1"/>
  <c r="H118" i="1" s="1"/>
  <c r="G119" i="1"/>
  <c r="G120" i="1"/>
  <c r="H120" i="1" s="1"/>
  <c r="G121" i="1"/>
  <c r="H121" i="1" s="1"/>
  <c r="G122" i="1"/>
  <c r="H122" i="1" s="1"/>
  <c r="G123" i="1"/>
  <c r="H123" i="1" s="1"/>
  <c r="G7" i="1"/>
  <c r="H7" i="1" s="1"/>
  <c r="G124" i="1" s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7" i="1"/>
  <c r="I124" i="1" s="1"/>
  <c r="H10" i="1"/>
  <c r="H11" i="1"/>
  <c r="H12" i="1"/>
  <c r="H17" i="1"/>
  <c r="H18" i="1"/>
  <c r="H23" i="1"/>
  <c r="H24" i="1"/>
  <c r="H27" i="1"/>
  <c r="H28" i="1"/>
  <c r="H29" i="1"/>
  <c r="H30" i="1"/>
  <c r="H35" i="1"/>
  <c r="H36" i="1"/>
  <c r="H41" i="1"/>
  <c r="H42" i="1"/>
  <c r="H45" i="1"/>
  <c r="H46" i="1"/>
  <c r="H47" i="1"/>
  <c r="H48" i="1"/>
  <c r="H53" i="1"/>
  <c r="H54" i="1"/>
  <c r="H59" i="1"/>
  <c r="H60" i="1"/>
  <c r="H63" i="1"/>
  <c r="H64" i="1"/>
  <c r="H65" i="1"/>
  <c r="H66" i="1"/>
  <c r="H71" i="1"/>
  <c r="H72" i="1"/>
  <c r="H77" i="1"/>
  <c r="H78" i="1"/>
  <c r="H81" i="1"/>
  <c r="H82" i="1"/>
  <c r="H83" i="1"/>
  <c r="H84" i="1"/>
  <c r="H89" i="1"/>
  <c r="H90" i="1"/>
  <c r="H95" i="1"/>
  <c r="H96" i="1"/>
  <c r="H99" i="1"/>
  <c r="H100" i="1"/>
  <c r="H101" i="1"/>
  <c r="H102" i="1"/>
  <c r="H107" i="1"/>
  <c r="H108" i="1"/>
  <c r="H113" i="1"/>
  <c r="H116" i="1"/>
  <c r="H117" i="1"/>
  <c r="H119" i="1"/>
  <c r="F114" i="1"/>
  <c r="F115" i="1"/>
  <c r="F116" i="1"/>
  <c r="F117" i="1"/>
  <c r="F118" i="1"/>
  <c r="F119" i="1"/>
  <c r="F120" i="1"/>
  <c r="F121" i="1"/>
  <c r="F122" i="1"/>
  <c r="F123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E124" i="1" s="1"/>
  <c r="F7" i="1"/>
</calcChain>
</file>

<file path=xl/sharedStrings.xml><?xml version="1.0" encoding="utf-8"?>
<sst xmlns="http://schemas.openxmlformats.org/spreadsheetml/2006/main" count="372" uniqueCount="268">
  <si>
    <r>
      <rPr>
        <b/>
        <sz val="12"/>
        <rFont val="Times New Roman"/>
        <family val="1"/>
      </rPr>
      <t>S.N.</t>
    </r>
  </si>
  <si>
    <r>
      <rPr>
        <b/>
        <sz val="12"/>
        <rFont val="Times New Roman"/>
        <family val="1"/>
      </rPr>
      <t>Name of Article</t>
    </r>
  </si>
  <si>
    <r>
      <rPr>
        <b/>
        <sz val="12"/>
        <rFont val="Times New Roman"/>
        <family val="1"/>
      </rPr>
      <t>Unit Price with GST</t>
    </r>
  </si>
  <si>
    <r>
      <rPr>
        <b/>
        <sz val="12"/>
        <rFont val="Times New Roman"/>
        <family val="1"/>
      </rPr>
      <t>Total Amount with GST</t>
    </r>
  </si>
  <si>
    <r>
      <rPr>
        <sz val="12"/>
        <rFont val="Times New Roman"/>
        <family val="1"/>
      </rPr>
      <t>Note Sheet  (A4 size, 80 grams)</t>
    </r>
  </si>
  <si>
    <r>
      <rPr>
        <sz val="12"/>
        <rFont val="Times New Roman"/>
        <family val="1"/>
      </rPr>
      <t>Movement Register (Tayyaba or equivalent)</t>
    </r>
  </si>
  <si>
    <r>
      <rPr>
        <sz val="12"/>
        <rFont val="Times New Roman"/>
        <family val="1"/>
      </rPr>
      <t>Petrol Book Register (Tayyaba or equivalent)</t>
    </r>
  </si>
  <si>
    <r>
      <rPr>
        <sz val="12"/>
        <rFont val="Times New Roman"/>
        <family val="1"/>
      </rPr>
      <t>Diary Register No.6 (Tayyaba or equivalent)</t>
    </r>
  </si>
  <si>
    <r>
      <rPr>
        <sz val="12"/>
        <rFont val="Times New Roman"/>
        <family val="1"/>
      </rPr>
      <t xml:space="preserve">Dispatch Register No.6 (Tayyaba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</si>
  <si>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Envelops S.E 5 80 grm  Khaki, Golden</t>
    </r>
  </si>
  <si>
    <r>
      <rPr>
        <sz val="12"/>
        <rFont val="Times New Roman"/>
        <family val="1"/>
      </rPr>
      <t>Envelops S.E 6 80 grm  Khaki, Golden</t>
    </r>
  </si>
  <si>
    <r>
      <rPr>
        <sz val="12"/>
        <rFont val="Times New Roman"/>
        <family val="1"/>
      </rPr>
      <t>Envelops S.E 7 80 grm  Khaki, Golden</t>
    </r>
  </si>
  <si>
    <r>
      <rPr>
        <sz val="12"/>
        <rFont val="Times New Roman"/>
        <family val="1"/>
      </rPr>
      <t>Envelops S.E 8 80 grm  Khaki, Golden</t>
    </r>
  </si>
  <si>
    <r>
      <rPr>
        <sz val="12"/>
        <rFont val="Times New Roman"/>
        <family val="1"/>
      </rPr>
      <t>Envelop White S.E. 6 80 gms</t>
    </r>
  </si>
  <si>
    <r>
      <rPr>
        <sz val="12"/>
        <rFont val="Times New Roman"/>
        <family val="1"/>
      </rPr>
      <t>Envelope White (A4 Size)</t>
    </r>
  </si>
  <si>
    <r>
      <rPr>
        <sz val="12"/>
        <rFont val="Times New Roman"/>
        <family val="1"/>
      </rPr>
      <t>Imported Dasta paper</t>
    </r>
  </si>
  <si>
    <r>
      <rPr>
        <sz val="12"/>
        <rFont val="Times New Roman"/>
        <family val="1"/>
      </rPr>
      <t xml:space="preserve">Post-it-Pad (yellow 2X3), Sensa, Pronoti 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</si>
  <si>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 xml:space="preserve">Post-it-Pad (yellow 3X3), Sensa, Pronoti 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</si>
  <si>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 xml:space="preserve">Post-it-Pad (yellow 3X4), Sensa, Pronoti 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</si>
  <si>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 xml:space="preserve">Post-it-Pad (yellow 3X5), Sensa, Pronoti 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</si>
  <si>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 xml:space="preserve">Sticky flags/Post-It-Pad with Cuts (3x5),
</t>
    </r>
    <r>
      <rPr>
        <sz val="12"/>
        <rFont val="Times New Roman"/>
        <family val="1"/>
      </rPr>
      <t>Sensa, Pronoti or equivalent</t>
    </r>
  </si>
  <si>
    <r>
      <rPr>
        <sz val="12"/>
        <rFont val="Times New Roman"/>
        <family val="1"/>
      </rPr>
      <t>Immediate Flag Printed (3 x5) (fine quality)</t>
    </r>
  </si>
  <si>
    <r>
      <rPr>
        <sz val="12"/>
        <rFont val="Times New Roman"/>
        <family val="1"/>
      </rPr>
      <t xml:space="preserve">Heavy Duty Staple Machine KW-50 LBN
</t>
    </r>
    <r>
      <rPr>
        <sz val="12"/>
        <rFont val="Times New Roman"/>
        <family val="1"/>
      </rPr>
      <t>(KW, Deli or equivalent)</t>
    </r>
  </si>
  <si>
    <r>
      <rPr>
        <sz val="12"/>
        <rFont val="Times New Roman"/>
        <family val="1"/>
      </rPr>
      <t>Staple Machine (Perfect, Pump or equivalent)</t>
    </r>
  </si>
  <si>
    <r>
      <rPr>
        <sz val="12"/>
        <rFont val="Times New Roman"/>
        <family val="1"/>
      </rPr>
      <t xml:space="preserve">Staple Pins (Large, 23/08) 1000 Pins (ORO,
</t>
    </r>
    <r>
      <rPr>
        <sz val="12"/>
        <rFont val="Times New Roman"/>
        <family val="1"/>
      </rPr>
      <t>Washin or equivalent)</t>
    </r>
  </si>
  <si>
    <r>
      <rPr>
        <sz val="12"/>
        <rFont val="Times New Roman"/>
        <family val="1"/>
      </rPr>
      <t xml:space="preserve">Staple Pins (Large, 23/10) 1000 Pins (ORO,
</t>
    </r>
    <r>
      <rPr>
        <sz val="12"/>
        <rFont val="Times New Roman"/>
        <family val="1"/>
      </rPr>
      <t>Washin or equivalent)</t>
    </r>
  </si>
  <si>
    <r>
      <rPr>
        <sz val="12"/>
        <rFont val="Times New Roman"/>
        <family val="1"/>
      </rPr>
      <t xml:space="preserve">Staple Pins (Large, 23/13) 1000 Pins (ORO,
</t>
    </r>
    <r>
      <rPr>
        <sz val="12"/>
        <rFont val="Times New Roman"/>
        <family val="1"/>
      </rPr>
      <t>Washin or equivalent)</t>
    </r>
  </si>
  <si>
    <r>
      <rPr>
        <sz val="12"/>
        <rFont val="Times New Roman"/>
        <family val="1"/>
      </rPr>
      <t xml:space="preserve">Staple Pins (Large,23/15) 1000 Pins (ORO,
</t>
    </r>
    <r>
      <rPr>
        <sz val="12"/>
        <rFont val="Times New Roman"/>
        <family val="1"/>
      </rPr>
      <t>Washin or equivalent)</t>
    </r>
  </si>
  <si>
    <r>
      <rPr>
        <sz val="12"/>
        <rFont val="Times New Roman"/>
        <family val="1"/>
      </rPr>
      <t xml:space="preserve">Staple Pins (Large,23/17) 1000 pins (ORO,
</t>
    </r>
    <r>
      <rPr>
        <sz val="12"/>
        <rFont val="Times New Roman"/>
        <family val="1"/>
      </rPr>
      <t>Washin or equivalent)</t>
    </r>
  </si>
  <si>
    <r>
      <rPr>
        <sz val="12"/>
        <rFont val="Times New Roman"/>
        <family val="1"/>
      </rPr>
      <t xml:space="preserve">Staple Pins (Large,23/24) 1000 Pins (ORO,
</t>
    </r>
    <r>
      <rPr>
        <sz val="12"/>
        <rFont val="Times New Roman"/>
        <family val="1"/>
      </rPr>
      <t>Washin or equivalent)</t>
    </r>
  </si>
  <si>
    <r>
      <rPr>
        <sz val="12"/>
        <rFont val="Times New Roman"/>
        <family val="1"/>
      </rPr>
      <t xml:space="preserve">Staple Pin Remover (fine quality) KW, DL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</si>
  <si>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 xml:space="preserve">Heavy Duty Stapler Pin Remover (Deli, KW
</t>
    </r>
    <r>
      <rPr>
        <sz val="12"/>
        <rFont val="Times New Roman"/>
        <family val="1"/>
      </rPr>
      <t>or equivalent)</t>
    </r>
  </si>
  <si>
    <r>
      <rPr>
        <sz val="12"/>
        <rFont val="Times New Roman"/>
        <family val="1"/>
      </rPr>
      <t>File Flappers (Fine quality)</t>
    </r>
  </si>
  <si>
    <r>
      <rPr>
        <sz val="12"/>
        <rFont val="Times New Roman"/>
        <family val="1"/>
      </rPr>
      <t>Soft Rubber (Dux, Piano or equivalent)</t>
    </r>
  </si>
  <si>
    <r>
      <rPr>
        <sz val="12"/>
        <rFont val="Times New Roman"/>
        <family val="1"/>
      </rPr>
      <t xml:space="preserve">White Fluid with thinner (Pelican, Dux or
</t>
    </r>
    <r>
      <rPr>
        <sz val="12"/>
        <rFont val="Times New Roman"/>
        <family val="1"/>
      </rPr>
      <t>equivalent )</t>
    </r>
  </si>
  <si>
    <r>
      <rPr>
        <sz val="12"/>
        <rFont val="Times New Roman"/>
        <family val="1"/>
      </rPr>
      <t>White fluid Pen (Pelican, Dux or equivalent)</t>
    </r>
  </si>
  <si>
    <r>
      <rPr>
        <sz val="12"/>
        <rFont val="Times New Roman"/>
        <family val="1"/>
      </rPr>
      <t>Ink remover (ORO, Piano or equivalent)</t>
    </r>
  </si>
  <si>
    <r>
      <rPr>
        <sz val="12"/>
        <rFont val="Times New Roman"/>
        <family val="1"/>
      </rPr>
      <t>Rubber (Bahadur DG-50 or equivalent)</t>
    </r>
  </si>
  <si>
    <r>
      <rPr>
        <sz val="12"/>
        <rFont val="Times New Roman"/>
        <family val="1"/>
      </rPr>
      <t>Sharpener (Plastic) (Dux, Piano or equivalent)</t>
    </r>
  </si>
  <si>
    <r>
      <rPr>
        <sz val="12"/>
        <rFont val="Times New Roman"/>
        <family val="1"/>
      </rPr>
      <t>Writing Pad (A5 size) (local)</t>
    </r>
  </si>
  <si>
    <r>
      <rPr>
        <sz val="12"/>
        <rFont val="Times New Roman"/>
        <family val="1"/>
      </rPr>
      <t xml:space="preserve">Gum Stick (21 grams) (UHU, Dollar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</si>
  <si>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Gum (5 Ounce) (UHU, Dollar  or equivalent)</t>
    </r>
  </si>
  <si>
    <r>
      <rPr>
        <sz val="12"/>
        <rFont val="Times New Roman"/>
        <family val="1"/>
      </rPr>
      <t xml:space="preserve">Scotch Tape (1’’ Size) (Deer, Olympia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</si>
  <si>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Scotch Tape (2’’ Size)  (Deer, Olympia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</si>
  <si>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Thread Ball (Cotton, local)</t>
    </r>
  </si>
  <si>
    <r>
      <rPr>
        <sz val="12"/>
        <rFont val="Times New Roman"/>
        <family val="1"/>
      </rPr>
      <t xml:space="preserve">Binding Tape (large 3’’) (Seven Star, Excellent
</t>
    </r>
    <r>
      <rPr>
        <sz val="12"/>
        <rFont val="Times New Roman"/>
        <family val="1"/>
      </rPr>
      <t>or equivalent)</t>
    </r>
  </si>
  <si>
    <r>
      <rPr>
        <sz val="12"/>
        <rFont val="Times New Roman"/>
        <family val="1"/>
      </rPr>
      <t xml:space="preserve">Binding Tape (large, 1.5”) (Seven Star,
</t>
    </r>
    <r>
      <rPr>
        <sz val="12"/>
        <rFont val="Times New Roman"/>
        <family val="1"/>
      </rPr>
      <t>Excellent or equivalent)</t>
    </r>
  </si>
  <si>
    <r>
      <rPr>
        <sz val="12"/>
        <rFont val="Times New Roman"/>
        <family val="1"/>
      </rPr>
      <t xml:space="preserve">Packing Tape (2’’, large brown) (Sensa,  Excell
</t>
    </r>
    <r>
      <rPr>
        <sz val="12"/>
        <rFont val="Times New Roman"/>
        <family val="1"/>
      </rPr>
      <t>or equivalent</t>
    </r>
  </si>
  <si>
    <r>
      <rPr>
        <sz val="12"/>
        <rFont val="Times New Roman"/>
        <family val="1"/>
      </rPr>
      <t xml:space="preserve">Masking Tape 2” (20 Yards) (Abro, Sensa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</si>
  <si>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Double tap (foam) (Abro, Sensa or equivalent)</t>
    </r>
  </si>
  <si>
    <r>
      <rPr>
        <sz val="12"/>
        <rFont val="Times New Roman"/>
        <family val="1"/>
      </rPr>
      <t xml:space="preserve">Double tap (normal) (Abro,  Sensa 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</si>
  <si>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Shorthand Pencil (Goldfish, ORO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</si>
  <si>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Shorthand copy (Tayyaba or equivalent)</t>
    </r>
  </si>
  <si>
    <r>
      <rPr>
        <sz val="12"/>
        <rFont val="Times New Roman"/>
        <family val="1"/>
      </rPr>
      <t>Pencil Lead (Goldfish, ORO or equivalent)</t>
    </r>
  </si>
  <si>
    <r>
      <rPr>
        <sz val="12"/>
        <rFont val="Times New Roman"/>
        <family val="1"/>
      </rPr>
      <t xml:space="preserve">Pencil Lead (Rubber Tip) (Goldfish, ORO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</si>
  <si>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>Pointer (Dollar, Piano or equivalent)</t>
    </r>
  </si>
  <si>
    <r>
      <rPr>
        <sz val="12"/>
        <rFont val="Times New Roman"/>
        <family val="1"/>
      </rPr>
      <t>Uni-ball Pen (Eye Fine) (Original)</t>
    </r>
  </si>
  <si>
    <r>
      <rPr>
        <sz val="12"/>
        <rFont val="Times New Roman"/>
        <family val="1"/>
      </rPr>
      <t>Uni-ball Fuji 0.7 (Arrow Tip)</t>
    </r>
  </si>
  <si>
    <r>
      <rPr>
        <sz val="12"/>
        <rFont val="Times New Roman"/>
        <family val="1"/>
      </rPr>
      <t>Uni-ball Signo (Original)</t>
    </r>
  </si>
  <si>
    <r>
      <rPr>
        <sz val="12"/>
        <rFont val="Times New Roman"/>
        <family val="1"/>
      </rPr>
      <t>Uni-ball (Vision) as per sample</t>
    </r>
  </si>
  <si>
    <r>
      <rPr>
        <sz val="12"/>
        <rFont val="Times New Roman"/>
        <family val="1"/>
      </rPr>
      <t xml:space="preserve">Gel Pen (M&amp;G Smarter/Leader, Rabbit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</si>
  <si>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Gel Pen (Dollar Jet flo, Piano Jel flo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</si>
  <si>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Table/Desk Diary Calendar</t>
    </r>
  </si>
  <si>
    <r>
      <rPr>
        <sz val="12"/>
        <rFont val="Times New Roman"/>
        <family val="1"/>
      </rPr>
      <t>Highlighter (Mercury, Dollar or equivalent)</t>
    </r>
  </si>
  <si>
    <r>
      <rPr>
        <sz val="12"/>
        <rFont val="Times New Roman"/>
        <family val="1"/>
      </rPr>
      <t>Marker simple (Dollar, Piano or equivalent)</t>
    </r>
  </si>
  <si>
    <r>
      <rPr>
        <sz val="12"/>
        <rFont val="Times New Roman"/>
        <family val="1"/>
      </rPr>
      <t>Board marker (Piano, Dollar, or equivalent)</t>
    </r>
  </si>
  <si>
    <r>
      <rPr>
        <sz val="12"/>
        <rFont val="Times New Roman"/>
        <family val="1"/>
      </rPr>
      <t xml:space="preserve">Permanent marker (Piano, Dollar,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</si>
  <si>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Steel scale (12 inches)</t>
    </r>
  </si>
  <si>
    <r>
      <rPr>
        <sz val="12"/>
        <rFont val="Times New Roman"/>
        <family val="1"/>
      </rPr>
      <t xml:space="preserve">Calculator (14 digits Citizen or equivalent)
</t>
    </r>
    <r>
      <rPr>
        <sz val="12"/>
        <rFont val="Times New Roman"/>
        <family val="1"/>
      </rPr>
      <t>large</t>
    </r>
  </si>
  <si>
    <r>
      <rPr>
        <sz val="12"/>
        <rFont val="Times New Roman"/>
        <family val="1"/>
      </rPr>
      <t>Box file (Imported)</t>
    </r>
  </si>
  <si>
    <r>
      <rPr>
        <sz val="12"/>
        <rFont val="Times New Roman"/>
        <family val="1"/>
      </rPr>
      <t xml:space="preserve">Double punch (medium) KW, Perfect 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</si>
  <si>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 xml:space="preserve">Ink Bottle (30 ml) (Dollar, Nafees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</si>
  <si>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Rubber band (Size 01) (Sensa, crystal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</si>
  <si>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Rubber band (Size 03) (Sensa,  crystal 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</si>
  <si>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Sharpener Machine (KW, Deli or equivalent)</t>
    </r>
  </si>
  <si>
    <r>
      <rPr>
        <sz val="12"/>
        <rFont val="Times New Roman"/>
        <family val="1"/>
      </rPr>
      <t xml:space="preserve">Tape (Scotch) Dispenser (KW, Deli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</si>
  <si>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Fax Rolls (50 M)</t>
    </r>
  </si>
  <si>
    <r>
      <rPr>
        <sz val="12"/>
        <rFont val="Times New Roman"/>
        <family val="1"/>
      </rPr>
      <t xml:space="preserve">Paper Clip (Steel, 30-mm) (Three flower,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</si>
  <si>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Paper Clip Colour, Three flower or equivalent)</t>
    </r>
  </si>
  <si>
    <r>
      <rPr>
        <sz val="12"/>
        <rFont val="Times New Roman"/>
        <family val="1"/>
      </rPr>
      <t>Paper Pin (Three flower, or equivalent)</t>
    </r>
  </si>
  <si>
    <r>
      <rPr>
        <sz val="12"/>
        <rFont val="Times New Roman"/>
        <family val="1"/>
      </rPr>
      <t xml:space="preserve">Staple pin (24/6) (Dollar, Perfect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</si>
  <si>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Punch Machine (Single hole) (Local, Fine
</t>
    </r>
    <r>
      <rPr>
        <sz val="12"/>
        <rFont val="Times New Roman"/>
        <family val="1"/>
      </rPr>
      <t>quality)</t>
    </r>
  </si>
  <si>
    <r>
      <rPr>
        <sz val="12"/>
        <rFont val="Times New Roman"/>
        <family val="1"/>
      </rPr>
      <t>Register Ruled (20 No.)  (Pilot, or equivalent)</t>
    </r>
  </si>
  <si>
    <r>
      <rPr>
        <sz val="12"/>
        <rFont val="Times New Roman"/>
        <family val="1"/>
      </rPr>
      <t>Register Ruled (24 No.)  (Pilot, or equivalent)</t>
    </r>
  </si>
  <si>
    <r>
      <rPr>
        <sz val="12"/>
        <rFont val="Times New Roman"/>
        <family val="1"/>
      </rPr>
      <t xml:space="preserve">Paper Cutter (Medium) (Deli, Haixin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</si>
  <si>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Scissors for paper cutting (Medium) (DL,
</t>
    </r>
    <r>
      <rPr>
        <sz val="12"/>
        <rFont val="Times New Roman"/>
        <family val="1"/>
      </rPr>
      <t>Sensa, or equivalent)</t>
    </r>
  </si>
  <si>
    <r>
      <rPr>
        <sz val="12"/>
        <rFont val="Times New Roman"/>
        <family val="1"/>
      </rPr>
      <t xml:space="preserve">Stamp Pad (11x7) (Lancer, Crystal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</si>
  <si>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Stamp Pad Ink, (Lancer, Crystal or equivalent)</t>
    </r>
  </si>
  <si>
    <r>
      <rPr>
        <sz val="12"/>
        <rFont val="Times New Roman"/>
        <family val="1"/>
      </rPr>
      <t>Waste Paper Basket 12” (Plastic, fine quality)</t>
    </r>
  </si>
  <si>
    <r>
      <rPr>
        <sz val="12"/>
        <rFont val="Times New Roman"/>
        <family val="1"/>
      </rPr>
      <t>File Tray (Plastic) (Fine quality)</t>
    </r>
  </si>
  <si>
    <r>
      <rPr>
        <sz val="12"/>
        <rFont val="Times New Roman"/>
        <family val="1"/>
      </rPr>
      <t xml:space="preserve">Lamination Card Cover (75mm X 100mm, 100
</t>
    </r>
    <r>
      <rPr>
        <sz val="12"/>
        <rFont val="Times New Roman"/>
        <family val="1"/>
      </rPr>
      <t>pouches,250 micron)</t>
    </r>
  </si>
  <si>
    <r>
      <rPr>
        <sz val="12"/>
        <rFont val="Times New Roman"/>
        <family val="1"/>
      </rPr>
      <t xml:space="preserve">Office Card Holder with Ribbons Strips with
</t>
    </r>
    <r>
      <rPr>
        <sz val="12"/>
        <rFont val="Times New Roman"/>
        <family val="1"/>
      </rPr>
      <t>Senate logo</t>
    </r>
  </si>
  <si>
    <r>
      <rPr>
        <sz val="12"/>
        <rFont val="Times New Roman"/>
        <family val="1"/>
      </rPr>
      <t>Tag Cotton (Best quality)</t>
    </r>
  </si>
  <si>
    <r>
      <rPr>
        <sz val="12"/>
        <rFont val="Times New Roman"/>
        <family val="1"/>
      </rPr>
      <t xml:space="preserve">Engagement Stand (A-4,size, Plastic) (Fine
</t>
    </r>
    <r>
      <rPr>
        <sz val="12"/>
        <rFont val="Times New Roman"/>
        <family val="1"/>
      </rPr>
      <t>quality)</t>
    </r>
  </si>
  <si>
    <r>
      <rPr>
        <sz val="12"/>
        <rFont val="Times New Roman"/>
        <family val="1"/>
      </rPr>
      <t xml:space="preserve">Table Stationery Set (3 No or Wooden)
</t>
    </r>
    <r>
      <rPr>
        <sz val="12"/>
        <rFont val="Times New Roman"/>
        <family val="1"/>
      </rPr>
      <t>(Rexine, Kaligon, 9pcs)</t>
    </r>
  </si>
  <si>
    <r>
      <rPr>
        <sz val="12"/>
        <rFont val="Times New Roman"/>
        <family val="1"/>
      </rPr>
      <t>Table stationery set (Kaligon Executive No. 4)</t>
    </r>
  </si>
  <si>
    <r>
      <rPr>
        <sz val="12"/>
        <rFont val="Times New Roman"/>
        <family val="1"/>
      </rPr>
      <t xml:space="preserve">Desk Ink pen with iridium tipped Nib
</t>
    </r>
    <r>
      <rPr>
        <sz val="12"/>
        <rFont val="Times New Roman"/>
        <family val="1"/>
      </rPr>
      <t>(Executive) (Piano, Dux or equivalent)</t>
    </r>
  </si>
  <si>
    <r>
      <rPr>
        <sz val="12"/>
        <rFont val="Times New Roman"/>
        <family val="1"/>
      </rPr>
      <t xml:space="preserve">File separator, (10 Leaves), Plastic, Fine
</t>
    </r>
    <r>
      <rPr>
        <sz val="12"/>
        <rFont val="Times New Roman"/>
        <family val="1"/>
      </rPr>
      <t>quality</t>
    </r>
  </si>
  <si>
    <r>
      <rPr>
        <sz val="12"/>
        <rFont val="Times New Roman"/>
        <family val="1"/>
      </rPr>
      <t>Blank Card Fancy</t>
    </r>
  </si>
  <si>
    <r>
      <rPr>
        <sz val="12"/>
        <rFont val="Times New Roman"/>
        <family val="1"/>
      </rPr>
      <t xml:space="preserve">File Cover (Plastic) (My Clear Bag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</si>
  <si>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White Board (3 x 2)</t>
    </r>
  </si>
  <si>
    <r>
      <rPr>
        <sz val="12"/>
        <rFont val="Times New Roman"/>
        <family val="1"/>
      </rPr>
      <t xml:space="preserve">Binder Clip (32 mm) (Three flower, Diamond
</t>
    </r>
    <r>
      <rPr>
        <sz val="12"/>
        <rFont val="Times New Roman"/>
        <family val="1"/>
      </rPr>
      <t>or equivalent)</t>
    </r>
  </si>
  <si>
    <r>
      <rPr>
        <sz val="12"/>
        <rFont val="Times New Roman"/>
        <family val="1"/>
      </rPr>
      <t>Water Damper Roll (imported)</t>
    </r>
  </si>
  <si>
    <r>
      <rPr>
        <sz val="12"/>
        <rFont val="Times New Roman"/>
        <family val="1"/>
      </rPr>
      <t>Spiral Pad A-7 (imported)</t>
    </r>
  </si>
  <si>
    <r>
      <rPr>
        <sz val="12"/>
        <rFont val="Times New Roman"/>
        <family val="1"/>
      </rPr>
      <t xml:space="preserve">Binder Clip (32 mm) Multi Color  (Three
</t>
    </r>
    <r>
      <rPr>
        <sz val="12"/>
        <rFont val="Times New Roman"/>
        <family val="1"/>
      </rPr>
      <t>flower, Dimond or equivalent)</t>
    </r>
  </si>
  <si>
    <r>
      <rPr>
        <sz val="12"/>
        <rFont val="Times New Roman"/>
        <family val="1"/>
      </rPr>
      <t xml:space="preserve">Attendance Register (No.2) (Tayyaba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</si>
  <si>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Toner for Panasonic Fax Machine (KX-MB
</t>
    </r>
    <r>
      <rPr>
        <sz val="12"/>
        <rFont val="Times New Roman"/>
        <family val="1"/>
      </rPr>
      <t>2120)</t>
    </r>
  </si>
  <si>
    <r>
      <rPr>
        <sz val="12"/>
        <rFont val="Times New Roman"/>
        <family val="1"/>
      </rPr>
      <t>Toner for Fax Machine (Brother-2840)</t>
    </r>
  </si>
  <si>
    <r>
      <rPr>
        <sz val="12"/>
        <rFont val="Times New Roman"/>
        <family val="1"/>
      </rPr>
      <t>Toner for fax machine (Panasonic KX-FP-711)</t>
    </r>
  </si>
  <si>
    <r>
      <rPr>
        <sz val="12"/>
        <rFont val="Times New Roman"/>
        <family val="1"/>
      </rPr>
      <t xml:space="preserve">Toner for Fax Machine (Panasonic KX FL
</t>
    </r>
    <r>
      <rPr>
        <sz val="12"/>
        <rFont val="Times New Roman"/>
        <family val="1"/>
      </rPr>
      <t>983)</t>
    </r>
  </si>
  <si>
    <r>
      <rPr>
        <sz val="12"/>
        <rFont val="Times New Roman"/>
        <family val="1"/>
      </rPr>
      <t>Toner for Photostat Machine XEROX 5335</t>
    </r>
  </si>
  <si>
    <r>
      <rPr>
        <sz val="12"/>
        <rFont val="Times New Roman"/>
        <family val="1"/>
      </rPr>
      <t xml:space="preserve">Green  Diary  pad  (Leather)  cover  with  Senate
</t>
    </r>
    <r>
      <rPr>
        <sz val="12"/>
        <rFont val="Times New Roman"/>
        <family val="1"/>
      </rPr>
      <t>logo</t>
    </r>
  </si>
  <si>
    <r>
      <rPr>
        <sz val="12"/>
        <rFont val="Times New Roman"/>
        <family val="1"/>
      </rPr>
      <t xml:space="preserve">Table    Set    (Leather)    with    Senate    Logo
</t>
    </r>
    <r>
      <rPr>
        <sz val="12"/>
        <rFont val="Times New Roman"/>
        <family val="1"/>
      </rPr>
      <t>(Embossed) as per sample</t>
    </r>
  </si>
  <si>
    <r>
      <rPr>
        <sz val="12"/>
        <rFont val="Times New Roman"/>
        <family val="1"/>
      </rPr>
      <t xml:space="preserve">Dairy Pad cover with Senate Logo and Name of
</t>
    </r>
    <r>
      <rPr>
        <sz val="12"/>
        <rFont val="Times New Roman"/>
        <family val="1"/>
      </rPr>
      <t>dignitary (Embossed) as per sample</t>
    </r>
  </si>
  <si>
    <r>
      <rPr>
        <sz val="12"/>
        <rFont val="Times New Roman"/>
        <family val="1"/>
      </rPr>
      <t xml:space="preserve">Table calendar with Senate Pictures and Senate
</t>
    </r>
    <r>
      <rPr>
        <sz val="12"/>
        <rFont val="Times New Roman"/>
        <family val="1"/>
      </rPr>
      <t>Logo</t>
    </r>
  </si>
  <si>
    <r>
      <rPr>
        <sz val="12"/>
        <rFont val="Times New Roman"/>
        <family val="1"/>
      </rPr>
      <t>File Folder (Leather) with Senate Logo</t>
    </r>
  </si>
  <si>
    <r>
      <rPr>
        <sz val="12"/>
        <rFont val="Times New Roman"/>
        <family val="1"/>
      </rPr>
      <t xml:space="preserve">Wall calendar with Senate Pictures and Senate
</t>
    </r>
    <r>
      <rPr>
        <sz val="12"/>
        <rFont val="Times New Roman"/>
        <family val="1"/>
      </rPr>
      <t>Logo</t>
    </r>
  </si>
  <si>
    <r>
      <rPr>
        <sz val="12"/>
        <rFont val="Times New Roman"/>
        <family val="1"/>
      </rPr>
      <t xml:space="preserve">Pen/ball Point with the name Senate of Pakistan
</t>
    </r>
    <r>
      <rPr>
        <sz val="12"/>
        <rFont val="Times New Roman"/>
        <family val="1"/>
      </rPr>
      <t>&amp; Senate Logo</t>
    </r>
  </si>
  <si>
    <r>
      <rPr>
        <sz val="12"/>
        <rFont val="Times New Roman"/>
        <family val="1"/>
      </rPr>
      <t>Wall clock with Senate Logo</t>
    </r>
  </si>
  <si>
    <r>
      <rPr>
        <sz val="12"/>
        <rFont val="Times New Roman"/>
        <family val="1"/>
      </rPr>
      <t xml:space="preserve">Dak pad (Rexine with lock)  Commet, Alpha 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</si>
  <si>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Tissue  box  cover  with  Senate  Logo  as  per
</t>
    </r>
    <r>
      <rPr>
        <sz val="12"/>
        <rFont val="Times New Roman"/>
        <family val="1"/>
      </rPr>
      <t>sample</t>
    </r>
  </si>
  <si>
    <r>
      <rPr>
        <sz val="12"/>
        <rFont val="Times New Roman"/>
        <family val="1"/>
      </rPr>
      <t xml:space="preserve">White  Offset  Paper, A-4  size,  Imported,  80
</t>
    </r>
    <r>
      <rPr>
        <sz val="12"/>
        <rFont val="Times New Roman"/>
        <family val="1"/>
      </rPr>
      <t>Gsm, 500 sheets (IK, BLC or equivalent)</t>
    </r>
  </si>
  <si>
    <r>
      <rPr>
        <sz val="12"/>
        <rFont val="Times New Roman"/>
        <family val="1"/>
      </rPr>
      <t xml:space="preserve">Color   Offset   Paper,   A-4,size,   80   Gsm,
</t>
    </r>
    <r>
      <rPr>
        <sz val="12"/>
        <rFont val="Times New Roman"/>
        <family val="1"/>
      </rPr>
      <t>Imported, 500 Sheets as per sample</t>
    </r>
  </si>
  <si>
    <r>
      <rPr>
        <sz val="12"/>
        <rFont val="Times New Roman"/>
        <family val="1"/>
      </rPr>
      <t xml:space="preserve">Inkjet Paper (108 Gsm) 1x 100 A-4 size   as
</t>
    </r>
    <r>
      <rPr>
        <sz val="12"/>
        <rFont val="Times New Roman"/>
        <family val="1"/>
      </rPr>
      <t>per sample</t>
    </r>
  </si>
  <si>
    <r>
      <rPr>
        <sz val="12"/>
        <rFont val="Times New Roman"/>
        <family val="1"/>
      </rPr>
      <t xml:space="preserve">Fancy Paper off white  100  Gsm, 500  sheet
</t>
    </r>
    <r>
      <rPr>
        <sz val="12"/>
        <rFont val="Times New Roman"/>
        <family val="1"/>
      </rPr>
      <t>(Rejina Paper)</t>
    </r>
  </si>
  <si>
    <r>
      <rPr>
        <sz val="12"/>
        <rFont val="Times New Roman"/>
        <family val="1"/>
      </rPr>
      <t xml:space="preserve">Photo Paper (110 Gsm) (1x 100, A-4 size)  as
</t>
    </r>
    <r>
      <rPr>
        <sz val="12"/>
        <rFont val="Times New Roman"/>
        <family val="1"/>
      </rPr>
      <t>per sample</t>
    </r>
  </si>
  <si>
    <r>
      <rPr>
        <sz val="12"/>
        <rFont val="Times New Roman"/>
        <family val="1"/>
      </rPr>
      <t xml:space="preserve">Avery Card 270 Gms (10x 14) multi Colors,
</t>
    </r>
    <r>
      <rPr>
        <sz val="12"/>
        <rFont val="Times New Roman"/>
        <family val="1"/>
      </rPr>
      <t>100 Sheets  as per sample</t>
    </r>
  </si>
  <si>
    <r>
      <rPr>
        <sz val="12"/>
        <rFont val="Times New Roman"/>
        <family val="1"/>
      </rPr>
      <t xml:space="preserve">Art Card 270 Gms (10 x 14)  multi color (100
</t>
    </r>
    <r>
      <rPr>
        <sz val="12"/>
        <rFont val="Times New Roman"/>
        <family val="1"/>
      </rPr>
      <t>sheets)  per sample</t>
    </r>
  </si>
  <si>
    <r>
      <rPr>
        <sz val="12"/>
        <rFont val="Times New Roman"/>
        <family val="1"/>
      </rPr>
      <t xml:space="preserve">Offset Paper (Legal, 80 Gsm, Imported, 500
</t>
    </r>
    <r>
      <rPr>
        <sz val="12"/>
        <rFont val="Times New Roman"/>
        <family val="1"/>
      </rPr>
      <t>Sheets (IK, BLC or equivalent)</t>
    </r>
  </si>
  <si>
    <r>
      <rPr>
        <sz val="12"/>
        <rFont val="Times New Roman"/>
        <family val="1"/>
      </rPr>
      <t xml:space="preserve">Colour  Paper,  Multi  colours,  A4  size,  100
</t>
    </r>
    <r>
      <rPr>
        <sz val="12"/>
        <rFont val="Times New Roman"/>
        <family val="1"/>
      </rPr>
      <t>sheets, 80 Gsm, Spectra brand or equivalent.</t>
    </r>
  </si>
  <si>
    <r>
      <rPr>
        <sz val="12"/>
        <rFont val="Times New Roman"/>
        <family val="1"/>
      </rPr>
      <t xml:space="preserve">Director  Paper  (A4  Size,  120  Gsm,  500
</t>
    </r>
    <r>
      <rPr>
        <sz val="12"/>
        <rFont val="Times New Roman"/>
        <family val="1"/>
      </rPr>
      <t>sheets) as per sample</t>
    </r>
  </si>
  <si>
    <r>
      <rPr>
        <sz val="12"/>
        <rFont val="Times New Roman"/>
        <family val="1"/>
      </rPr>
      <t>CD-R (Maxell, Sony or equivalent)</t>
    </r>
  </si>
  <si>
    <r>
      <rPr>
        <sz val="12"/>
        <rFont val="Times New Roman"/>
        <family val="1"/>
      </rPr>
      <t>DVD-R (Maxell, Sony or equivalent)</t>
    </r>
  </si>
  <si>
    <r>
      <rPr>
        <sz val="12"/>
        <rFont val="Times New Roman"/>
        <family val="1"/>
      </rPr>
      <t>DVD-R/W (Maxell, Sony or equivalent)</t>
    </r>
  </si>
  <si>
    <r>
      <rPr>
        <sz val="12"/>
        <rFont val="Times New Roman"/>
        <family val="1"/>
      </rPr>
      <t>DV CAM (Sony, 184 minutes)</t>
    </r>
  </si>
  <si>
    <r>
      <rPr>
        <sz val="12"/>
        <rFont val="Times New Roman"/>
        <family val="1"/>
      </rPr>
      <t xml:space="preserve">DVD-R (Double sided With 8-GB
</t>
    </r>
    <r>
      <rPr>
        <sz val="12"/>
        <rFont val="Times New Roman"/>
        <family val="1"/>
      </rPr>
      <t>Capacity) (Maxell, Sony or equivalent)</t>
    </r>
  </si>
  <si>
    <r>
      <rPr>
        <sz val="12"/>
        <rFont val="Times New Roman"/>
        <family val="1"/>
      </rPr>
      <t xml:space="preserve">Flash Drive/USB 8 GB 3.0 (San Disk,
</t>
    </r>
    <r>
      <rPr>
        <sz val="12"/>
        <rFont val="Times New Roman"/>
        <family val="1"/>
      </rPr>
      <t>Kingston or Equivalent)</t>
    </r>
  </si>
  <si>
    <r>
      <rPr>
        <sz val="12"/>
        <rFont val="Times New Roman"/>
        <family val="1"/>
      </rPr>
      <t xml:space="preserve">Flash Drive/ USB 16 GB 3.0 (San Disk,
</t>
    </r>
    <r>
      <rPr>
        <sz val="12"/>
        <rFont val="Times New Roman"/>
        <family val="1"/>
      </rPr>
      <t>Kingston or Equivalent)</t>
    </r>
  </si>
  <si>
    <r>
      <rPr>
        <sz val="12"/>
        <rFont val="Times New Roman"/>
        <family val="1"/>
      </rPr>
      <t xml:space="preserve">Flash Drive/USB 32 GB 3.0 (San Disk,
</t>
    </r>
    <r>
      <rPr>
        <sz val="12"/>
        <rFont val="Times New Roman"/>
        <family val="1"/>
      </rPr>
      <t>Kingston or Equivalent)</t>
    </r>
  </si>
  <si>
    <r>
      <rPr>
        <sz val="12"/>
        <rFont val="Times New Roman"/>
        <family val="1"/>
      </rPr>
      <t xml:space="preserve">Flash Drive/USB 64GB 3.0 (San Disk,
</t>
    </r>
    <r>
      <rPr>
        <sz val="12"/>
        <rFont val="Times New Roman"/>
        <family val="1"/>
      </rPr>
      <t>Kingston or Equivalent)</t>
    </r>
  </si>
  <si>
    <r>
      <rPr>
        <sz val="12"/>
        <rFont val="Times New Roman"/>
        <family val="1"/>
      </rPr>
      <t>Voice Recorder (Sony ICD-PX470)</t>
    </r>
  </si>
  <si>
    <r>
      <rPr>
        <sz val="12"/>
        <rFont val="Times New Roman"/>
        <family val="1"/>
      </rPr>
      <t>German Glue (Mowilith, 2KG)</t>
    </r>
  </si>
  <si>
    <r>
      <rPr>
        <sz val="12"/>
        <rFont val="Times New Roman"/>
        <family val="1"/>
      </rPr>
      <t xml:space="preserve">Cell (AA size, Rechargeable) (Energizer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</si>
  <si>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Cell (AA size), (Energizer or equivalent)</t>
    </r>
  </si>
  <si>
    <r>
      <rPr>
        <sz val="12"/>
        <rFont val="Times New Roman"/>
        <family val="1"/>
      </rPr>
      <t>Cell (AA, size) (Toshiba or equivalent)</t>
    </r>
  </si>
  <si>
    <r>
      <rPr>
        <sz val="12"/>
        <rFont val="Times New Roman"/>
        <family val="1"/>
      </rPr>
      <t>Cell (AAA Size, (Toshiba or equivalent)</t>
    </r>
  </si>
  <si>
    <r>
      <rPr>
        <sz val="12"/>
        <rFont val="Times New Roman"/>
        <family val="1"/>
      </rPr>
      <t>Battery (9v) (Toshiba or equivalent)</t>
    </r>
  </si>
  <si>
    <r>
      <rPr>
        <sz val="12"/>
        <rFont val="Times New Roman"/>
        <family val="1"/>
      </rPr>
      <t>Cell (v small 23A) (Imported)</t>
    </r>
  </si>
  <si>
    <r>
      <rPr>
        <sz val="12"/>
        <rFont val="Times New Roman"/>
        <family val="1"/>
      </rPr>
      <t>D4 Size cell (Toshiba or equivalent)</t>
    </r>
  </si>
  <si>
    <r>
      <rPr>
        <sz val="12"/>
        <rFont val="Times New Roman"/>
        <family val="1"/>
      </rPr>
      <t xml:space="preserve">Multi Power Plug (240V, 13/15 amp) (Hero,
</t>
    </r>
    <r>
      <rPr>
        <sz val="12"/>
        <rFont val="Times New Roman"/>
        <family val="1"/>
      </rPr>
      <t>Bush or equivalent)</t>
    </r>
  </si>
  <si>
    <r>
      <rPr>
        <sz val="12"/>
        <rFont val="Times New Roman"/>
        <family val="1"/>
      </rPr>
      <t xml:space="preserve">Disposable Glasses (Paper, Regular Size)
</t>
    </r>
    <r>
      <rPr>
        <sz val="12"/>
        <rFont val="Times New Roman"/>
        <family val="1"/>
      </rPr>
      <t>(Local)</t>
    </r>
  </si>
  <si>
    <r>
      <rPr>
        <sz val="12"/>
        <rFont val="Times New Roman"/>
        <family val="1"/>
      </rPr>
      <t xml:space="preserve">Extension Wire lead, Heavy Duty (Hero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</si>
  <si>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Glass Cleaner, (Glint, Insta or equivalent
</t>
    </r>
    <r>
      <rPr>
        <sz val="12"/>
        <rFont val="Times New Roman"/>
        <family val="1"/>
      </rPr>
      <t>(500 ml)</t>
    </r>
  </si>
  <si>
    <r>
      <rPr>
        <sz val="12"/>
        <rFont val="Times New Roman"/>
        <family val="1"/>
      </rPr>
      <t>Six Pins Line Cord (6 Meter)</t>
    </r>
  </si>
  <si>
    <r>
      <rPr>
        <sz val="12"/>
        <rFont val="Times New Roman"/>
        <family val="1"/>
      </rPr>
      <t>Four Pins Line Cord (3 Meter)</t>
    </r>
  </si>
  <si>
    <r>
      <rPr>
        <sz val="12"/>
        <rFont val="Times New Roman"/>
        <family val="1"/>
      </rPr>
      <t>Four Pins Line Cord (6 Meter)</t>
    </r>
  </si>
  <si>
    <r>
      <rPr>
        <sz val="12"/>
        <rFont val="Times New Roman"/>
        <family val="1"/>
      </rPr>
      <t>Four Pins Line Cord (10 Meter)</t>
    </r>
  </si>
  <si>
    <r>
      <rPr>
        <sz val="12"/>
        <rFont val="Times New Roman"/>
        <family val="1"/>
      </rPr>
      <t>Four pin line cord connector (RJ-11)</t>
    </r>
  </si>
  <si>
    <r>
      <rPr>
        <sz val="12"/>
        <rFont val="Times New Roman"/>
        <family val="1"/>
      </rPr>
      <t xml:space="preserve">Four pin line cord wire Roll (best quality)
</t>
    </r>
    <r>
      <rPr>
        <sz val="12"/>
        <rFont val="Times New Roman"/>
        <family val="1"/>
      </rPr>
      <t>(100 meter)</t>
    </r>
  </si>
  <si>
    <r>
      <rPr>
        <sz val="12"/>
        <rFont val="Times New Roman"/>
        <family val="1"/>
      </rPr>
      <t>Six Pins Rosette</t>
    </r>
  </si>
  <si>
    <r>
      <rPr>
        <sz val="12"/>
        <rFont val="Times New Roman"/>
        <family val="1"/>
      </rPr>
      <t>Four Pins Rosette</t>
    </r>
  </si>
  <si>
    <r>
      <rPr>
        <sz val="12"/>
        <rFont val="Times New Roman"/>
        <family val="1"/>
      </rPr>
      <t>Four Pin Receiver Cord</t>
    </r>
  </si>
  <si>
    <r>
      <rPr>
        <sz val="12"/>
        <rFont val="Times New Roman"/>
        <family val="1"/>
      </rPr>
      <t xml:space="preserve">Networking Wire (Cat-VI) (Tenda, D-Link
</t>
    </r>
    <r>
      <rPr>
        <sz val="12"/>
        <rFont val="Times New Roman"/>
        <family val="1"/>
      </rPr>
      <t>or equivalent)</t>
    </r>
  </si>
  <si>
    <r>
      <rPr>
        <sz val="12"/>
        <rFont val="Times New Roman"/>
        <family val="1"/>
      </rPr>
      <t>Adopters Best Quality  (9v)</t>
    </r>
  </si>
  <si>
    <r>
      <rPr>
        <sz val="12"/>
        <rFont val="Times New Roman"/>
        <family val="1"/>
      </rPr>
      <t>Adopter Best Quality (Multi)</t>
    </r>
  </si>
  <si>
    <r>
      <rPr>
        <sz val="12"/>
        <rFont val="Times New Roman"/>
        <family val="1"/>
      </rPr>
      <t>Charger with base ((Motorola DP-4801e)</t>
    </r>
  </si>
  <si>
    <r>
      <rPr>
        <sz val="12"/>
        <rFont val="Times New Roman"/>
        <family val="1"/>
      </rPr>
      <t>Adopter ((Motorola DP-4801e)</t>
    </r>
  </si>
  <si>
    <r>
      <rPr>
        <sz val="12"/>
        <rFont val="Times New Roman"/>
        <family val="1"/>
      </rPr>
      <t>Hands free (Motorola DP-4801e)</t>
    </r>
  </si>
  <si>
    <r>
      <rPr>
        <sz val="12"/>
        <rFont val="Times New Roman"/>
        <family val="1"/>
      </rPr>
      <t>Battery ((Motorola DP-4801e)</t>
    </r>
  </si>
  <si>
    <r>
      <rPr>
        <sz val="12"/>
        <rFont val="Times New Roman"/>
        <family val="1"/>
      </rPr>
      <t>Towel White (size 27x50, High quality)</t>
    </r>
  </si>
  <si>
    <r>
      <rPr>
        <sz val="12"/>
        <rFont val="Times New Roman"/>
        <family val="1"/>
      </rPr>
      <t>Umbrella (Parachute, High quality)</t>
    </r>
  </si>
  <si>
    <r>
      <rPr>
        <sz val="12"/>
        <rFont val="Times New Roman"/>
        <family val="1"/>
      </rPr>
      <t xml:space="preserve">Wall clock (50 mm Champion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</si>
  <si>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Duster (Yellow Cotton 20x30 High quality)</t>
    </r>
  </si>
  <si>
    <r>
      <rPr>
        <sz val="12"/>
        <rFont val="Times New Roman"/>
        <family val="1"/>
      </rPr>
      <t>Duster (white Cotton  20x30 High quality)</t>
    </r>
  </si>
  <si>
    <r>
      <rPr>
        <sz val="12"/>
        <rFont val="Times New Roman"/>
        <family val="1"/>
      </rPr>
      <t xml:space="preserve">Surf (35 grams), Surf excel or Arial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</si>
  <si>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Dish washer Liquid (175 ml bottle) (Lemon
</t>
    </r>
    <r>
      <rPr>
        <sz val="12"/>
        <rFont val="Times New Roman"/>
        <family val="1"/>
      </rPr>
      <t>Max, Vim or equivalent)</t>
    </r>
  </si>
  <si>
    <r>
      <rPr>
        <sz val="12"/>
        <rFont val="Times New Roman"/>
        <family val="1"/>
      </rPr>
      <t xml:space="preserve">Dish wash Bar (85 grams) (Lemon Max,
</t>
    </r>
    <r>
      <rPr>
        <sz val="12"/>
        <rFont val="Times New Roman"/>
        <family val="1"/>
      </rPr>
      <t>Vim or equivalent)</t>
    </r>
  </si>
  <si>
    <r>
      <rPr>
        <sz val="12"/>
        <rFont val="Times New Roman"/>
        <family val="1"/>
      </rPr>
      <t xml:space="preserve">Sponge (Regular) (Scotch Brite, Max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</si>
  <si>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Soap (70 grams) (Lux, Dettol or equivalent)</t>
    </r>
  </si>
  <si>
    <r>
      <rPr>
        <sz val="12"/>
        <rFont val="Times New Roman"/>
        <family val="1"/>
      </rPr>
      <t xml:space="preserve">Tissue Paper (plain/not perfumed) (Rose
</t>
    </r>
    <r>
      <rPr>
        <sz val="12"/>
        <rFont val="Times New Roman"/>
        <family val="1"/>
      </rPr>
      <t>Petal, Tulip or equivalent) (200 sheets)</t>
    </r>
  </si>
  <si>
    <r>
      <rPr>
        <sz val="12"/>
        <rFont val="Times New Roman"/>
        <family val="1"/>
      </rPr>
      <t xml:space="preserve">Tissue Roll (Rose Petal, Tulip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</si>
  <si>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Air Freshener (Aseel) (Al- Arabia, Al
</t>
    </r>
    <r>
      <rPr>
        <sz val="12"/>
        <rFont val="Times New Roman"/>
        <family val="1"/>
      </rPr>
      <t>Rehab or equivalent) (300 ml)</t>
    </r>
  </si>
  <si>
    <r>
      <rPr>
        <sz val="12"/>
        <rFont val="Times New Roman"/>
        <family val="1"/>
      </rPr>
      <t xml:space="preserve">Air Freshener (Delite or equivalent) (300
</t>
    </r>
    <r>
      <rPr>
        <sz val="12"/>
        <rFont val="Times New Roman"/>
        <family val="1"/>
      </rPr>
      <t>ml)</t>
    </r>
  </si>
  <si>
    <r>
      <rPr>
        <sz val="12"/>
        <rFont val="Times New Roman"/>
        <family val="1"/>
      </rPr>
      <t xml:space="preserve">Air Freshener (Air Wick or equivalent) (240
</t>
    </r>
    <r>
      <rPr>
        <sz val="12"/>
        <rFont val="Times New Roman"/>
        <family val="1"/>
      </rPr>
      <t>ml)</t>
    </r>
  </si>
  <si>
    <r>
      <rPr>
        <sz val="12"/>
        <rFont val="Times New Roman"/>
        <family val="1"/>
      </rPr>
      <t>Air freshener Refill (FRESCO) (300 ml)</t>
    </r>
  </si>
  <si>
    <r>
      <rPr>
        <sz val="12"/>
        <rFont val="Times New Roman"/>
        <family val="1"/>
      </rPr>
      <t>Air freshener Refill (AIR WICK) (300 ml)</t>
    </r>
  </si>
  <si>
    <r>
      <rPr>
        <sz val="12"/>
        <rFont val="Times New Roman"/>
        <family val="1"/>
      </rPr>
      <t>Hand Gloves (Polythene)</t>
    </r>
  </si>
  <si>
    <r>
      <rPr>
        <sz val="12"/>
        <rFont val="Times New Roman"/>
        <family val="1"/>
      </rPr>
      <t xml:space="preserve">Back care cushion (Molty, Five star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</si>
  <si>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>China lock Stainless steel (50 mm)</t>
    </r>
  </si>
  <si>
    <r>
      <rPr>
        <sz val="12"/>
        <rFont val="Times New Roman"/>
        <family val="1"/>
      </rPr>
      <t>Gun lighter (Local, Battery operated)</t>
    </r>
  </si>
  <si>
    <r>
      <rPr>
        <sz val="12"/>
        <rFont val="Times New Roman"/>
        <family val="1"/>
      </rPr>
      <t xml:space="preserve">Elfie glue (3 gram) (GMSA, Elfie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</si>
  <si>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Insect killer [Mortein, Kingstox or
</t>
    </r>
    <r>
      <rPr>
        <sz val="12"/>
        <rFont val="Times New Roman"/>
        <family val="1"/>
      </rPr>
      <t>equivalent] (300 ml)</t>
    </r>
  </si>
  <si>
    <r>
      <rPr>
        <sz val="12"/>
        <rFont val="Times New Roman"/>
        <family val="1"/>
      </rPr>
      <t xml:space="preserve">Hammer with metal handle (Fine Quality)
</t>
    </r>
    <r>
      <rPr>
        <sz val="12"/>
        <rFont val="Times New Roman"/>
        <family val="1"/>
      </rPr>
      <t>(Medium size)</t>
    </r>
  </si>
  <si>
    <r>
      <rPr>
        <sz val="12"/>
        <rFont val="Times New Roman"/>
        <family val="1"/>
      </rPr>
      <t xml:space="preserve">Remote Control Bell (AA Cell operated)
</t>
    </r>
    <r>
      <rPr>
        <sz val="12"/>
        <rFont val="Times New Roman"/>
        <family val="1"/>
      </rPr>
      <t>(Lucky, Sogo or equivalent)</t>
    </r>
  </si>
  <si>
    <r>
      <rPr>
        <sz val="12"/>
        <rFont val="Times New Roman"/>
        <family val="1"/>
      </rPr>
      <t xml:space="preserve">Universal Air Condition  Remote (K-
</t>
    </r>
    <r>
      <rPr>
        <sz val="12"/>
        <rFont val="Times New Roman"/>
        <family val="1"/>
      </rPr>
      <t>100ES)</t>
    </r>
  </si>
  <si>
    <r>
      <rPr>
        <sz val="12"/>
        <rFont val="Times New Roman"/>
        <family val="1"/>
      </rPr>
      <t xml:space="preserve">Universal TV Remote (Android) (RM-
</t>
    </r>
    <r>
      <rPr>
        <sz val="12"/>
        <rFont val="Times New Roman"/>
        <family val="1"/>
      </rPr>
      <t>014S)</t>
    </r>
  </si>
  <si>
    <r>
      <rPr>
        <sz val="12"/>
        <rFont val="Times New Roman"/>
        <family val="1"/>
      </rPr>
      <t xml:space="preserve">Handwash (Liquid) (500 ml) (Dettol, Oasis,
</t>
    </r>
    <r>
      <rPr>
        <sz val="12"/>
        <rFont val="Times New Roman"/>
        <family val="1"/>
      </rPr>
      <t>Delite or as per sample)</t>
    </r>
  </si>
  <si>
    <r>
      <rPr>
        <sz val="12"/>
        <rFont val="Times New Roman"/>
        <family val="1"/>
      </rPr>
      <t xml:space="preserve">Quaid-e-Azam Portrait with wooden frame
</t>
    </r>
    <r>
      <rPr>
        <sz val="12"/>
        <rFont val="Times New Roman"/>
        <family val="1"/>
      </rPr>
      <t>(18 by 24 inches)</t>
    </r>
  </si>
  <si>
    <r>
      <rPr>
        <sz val="12"/>
        <rFont val="Times New Roman"/>
        <family val="1"/>
      </rPr>
      <t xml:space="preserve">Electric Kettle (1.7 liter), Deuron, Annex or
</t>
    </r>
    <r>
      <rPr>
        <sz val="12"/>
        <rFont val="Times New Roman"/>
        <family val="1"/>
      </rPr>
      <t>equivalent</t>
    </r>
  </si>
  <si>
    <r>
      <rPr>
        <sz val="12"/>
        <rFont val="Times New Roman"/>
        <family val="1"/>
      </rPr>
      <t xml:space="preserve">Electric Fan Heater (Medium) (Deuron,
</t>
    </r>
    <r>
      <rPr>
        <sz val="12"/>
        <rFont val="Times New Roman"/>
        <family val="1"/>
      </rPr>
      <t>Annex or equivalent)</t>
    </r>
  </si>
  <si>
    <r>
      <rPr>
        <sz val="12"/>
        <rFont val="Times New Roman"/>
        <family val="1"/>
      </rPr>
      <t xml:space="preserve">Tea set (24 pcs), Ceramic, High quality
</t>
    </r>
    <r>
      <rPr>
        <sz val="12"/>
        <rFont val="Times New Roman"/>
        <family val="1"/>
      </rPr>
      <t>(Green Crockery or equivalent)</t>
    </r>
  </si>
  <si>
    <r>
      <rPr>
        <sz val="12"/>
        <rFont val="Times New Roman"/>
        <family val="1"/>
      </rPr>
      <t xml:space="preserve">Tea spoons (1 dozen), Stainless steel, High
</t>
    </r>
    <r>
      <rPr>
        <sz val="12"/>
        <rFont val="Times New Roman"/>
        <family val="1"/>
      </rPr>
      <t>Quality</t>
    </r>
  </si>
  <si>
    <r>
      <rPr>
        <sz val="12"/>
        <rFont val="Times New Roman"/>
        <family val="1"/>
      </rPr>
      <t xml:space="preserve">Table spoons (1 dozen), Stainless steel,
</t>
    </r>
    <r>
      <rPr>
        <sz val="12"/>
        <rFont val="Times New Roman"/>
        <family val="1"/>
      </rPr>
      <t>High Quality</t>
    </r>
  </si>
  <si>
    <r>
      <rPr>
        <sz val="12"/>
        <rFont val="Times New Roman"/>
        <family val="1"/>
      </rPr>
      <t xml:space="preserve">Tea cups with saucer set (12 pcs), Ceramic, High quality, (Green Crockery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</si>
  <si>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Water Glass (Ocean, Omroc or equivalent)
</t>
    </r>
    <r>
      <rPr>
        <sz val="12"/>
        <rFont val="Times New Roman"/>
        <family val="1"/>
      </rPr>
      <t>(Six Glass set)</t>
    </r>
  </si>
  <si>
    <r>
      <rPr>
        <sz val="12"/>
        <rFont val="Times New Roman"/>
        <family val="1"/>
      </rPr>
      <t xml:space="preserve">Water Glass (Imported) [Hongli, Atlantis or
</t>
    </r>
    <r>
      <rPr>
        <sz val="12"/>
        <rFont val="Times New Roman"/>
        <family val="1"/>
      </rPr>
      <t>equivalent  (Six Glass set)</t>
    </r>
  </si>
  <si>
    <r>
      <rPr>
        <sz val="12"/>
        <rFont val="Times New Roman"/>
        <family val="1"/>
      </rPr>
      <t>Water Jug (Nova, Toyo Nasic or equivalent)</t>
    </r>
  </si>
  <si>
    <r>
      <rPr>
        <sz val="12"/>
        <rFont val="Times New Roman"/>
        <family val="1"/>
      </rPr>
      <t xml:space="preserve">Quarter Plates (1 dozen), ceramic, High
</t>
    </r>
    <r>
      <rPr>
        <sz val="12"/>
        <rFont val="Times New Roman"/>
        <family val="1"/>
      </rPr>
      <t>quality</t>
    </r>
  </si>
  <si>
    <r>
      <rPr>
        <sz val="12"/>
        <rFont val="Times New Roman"/>
        <family val="1"/>
      </rPr>
      <t xml:space="preserve">Dinner Plates (1 dozen), ceramic, High
</t>
    </r>
    <r>
      <rPr>
        <sz val="12"/>
        <rFont val="Times New Roman"/>
        <family val="1"/>
      </rPr>
      <t>quality</t>
    </r>
  </si>
  <si>
    <r>
      <rPr>
        <sz val="12"/>
        <rFont val="Times New Roman"/>
        <family val="1"/>
      </rPr>
      <t>Water Cooler (12 ltr), High quality</t>
    </r>
  </si>
  <si>
    <r>
      <rPr>
        <sz val="12"/>
        <rFont val="Times New Roman"/>
        <family val="1"/>
      </rPr>
      <t xml:space="preserve">Drinking Water Bottle (19L) Hand pump
</t>
    </r>
    <r>
      <rPr>
        <sz val="12"/>
        <rFont val="Times New Roman"/>
        <family val="1"/>
      </rPr>
      <t>(High Quality, DADA or equivalent)</t>
    </r>
  </si>
  <si>
    <r>
      <rPr>
        <sz val="12"/>
        <rFont val="Times New Roman"/>
        <family val="1"/>
      </rPr>
      <t xml:space="preserve">Bowl with lid, (Medium) melamine, High
</t>
    </r>
    <r>
      <rPr>
        <sz val="12"/>
        <rFont val="Times New Roman"/>
        <family val="1"/>
      </rPr>
      <t>quality</t>
    </r>
  </si>
  <si>
    <r>
      <rPr>
        <sz val="12"/>
        <rFont val="Times New Roman"/>
        <family val="1"/>
      </rPr>
      <t xml:space="preserve">Serving Tray (Small size), melamine, High
</t>
    </r>
    <r>
      <rPr>
        <sz val="12"/>
        <rFont val="Times New Roman"/>
        <family val="1"/>
      </rPr>
      <t>quality</t>
    </r>
  </si>
  <si>
    <r>
      <rPr>
        <sz val="12"/>
        <rFont val="Times New Roman"/>
        <family val="1"/>
      </rPr>
      <t xml:space="preserve">Serving Tray (Medium size), melamine,
</t>
    </r>
    <r>
      <rPr>
        <sz val="12"/>
        <rFont val="Times New Roman"/>
        <family val="1"/>
      </rPr>
      <t>High quality</t>
    </r>
  </si>
  <si>
    <r>
      <rPr>
        <sz val="12"/>
        <rFont val="Times New Roman"/>
        <family val="1"/>
      </rPr>
      <t xml:space="preserve">Fork, Stainless steel, High Quality, (1
</t>
    </r>
    <r>
      <rPr>
        <sz val="12"/>
        <rFont val="Times New Roman"/>
        <family val="1"/>
      </rPr>
      <t>dozen)</t>
    </r>
  </si>
  <si>
    <r>
      <rPr>
        <sz val="12"/>
        <rFont val="Times New Roman"/>
        <family val="1"/>
      </rPr>
      <t xml:space="preserve">Knife (Butter), Stainless steel, High
</t>
    </r>
    <r>
      <rPr>
        <sz val="12"/>
        <rFont val="Times New Roman"/>
        <family val="1"/>
      </rPr>
      <t>Quality, (1 dozen)</t>
    </r>
  </si>
  <si>
    <r>
      <rPr>
        <sz val="12"/>
        <rFont val="Times New Roman"/>
        <family val="1"/>
      </rPr>
      <t>Sugar Pot, ceramic (High quality)</t>
    </r>
  </si>
  <si>
    <r>
      <rPr>
        <sz val="12"/>
        <rFont val="Times New Roman"/>
        <family val="1"/>
      </rPr>
      <t>Milk Pot, ceramic (High quality)</t>
    </r>
  </si>
  <si>
    <r>
      <rPr>
        <sz val="12"/>
        <rFont val="Times New Roman"/>
        <family val="1"/>
      </rPr>
      <t>Humidifier Cool stream-15 or equivalent</t>
    </r>
  </si>
  <si>
    <r>
      <rPr>
        <sz val="12"/>
        <rFont val="Times New Roman"/>
        <family val="1"/>
      </rPr>
      <t>Air Freshener Machine (Air Wick) (250 ml)</t>
    </r>
  </si>
  <si>
    <r>
      <rPr>
        <sz val="12"/>
        <rFont val="Times New Roman"/>
        <family val="1"/>
      </rPr>
      <t>Air Freshener Machine (Fresco) (300 ml)</t>
    </r>
  </si>
  <si>
    <r>
      <rPr>
        <sz val="12"/>
        <rFont val="Times New Roman"/>
        <family val="1"/>
      </rPr>
      <t>Musk Charcoal (Packet)</t>
    </r>
  </si>
  <si>
    <r>
      <rPr>
        <sz val="12"/>
        <rFont val="Times New Roman"/>
        <family val="1"/>
      </rPr>
      <t>Plier (Medium size) (Fine quality)</t>
    </r>
  </si>
  <si>
    <r>
      <rPr>
        <sz val="12"/>
        <rFont val="Times New Roman"/>
        <family val="1"/>
      </rPr>
      <t>Screw Driver (Medium size) (Fine quality)</t>
    </r>
  </si>
  <si>
    <r>
      <rPr>
        <sz val="12"/>
        <rFont val="Times New Roman"/>
        <family val="1"/>
      </rPr>
      <t xml:space="preserve">Needle for file binding (Large) (fine
</t>
    </r>
    <r>
      <rPr>
        <sz val="12"/>
        <rFont val="Times New Roman"/>
        <family val="1"/>
      </rPr>
      <t>quality)</t>
    </r>
  </si>
  <si>
    <r>
      <rPr>
        <sz val="12"/>
        <rFont val="Times New Roman"/>
        <family val="1"/>
      </rPr>
      <t>Bakhoor/Oud, (imported)</t>
    </r>
  </si>
  <si>
    <r>
      <rPr>
        <sz val="12"/>
        <rFont val="Times New Roman"/>
        <family val="1"/>
      </rPr>
      <t xml:space="preserve">Cool Water Perfume  (1 Tola), (Saeed Ghani
</t>
    </r>
    <r>
      <rPr>
        <sz val="12"/>
        <rFont val="Times New Roman"/>
        <family val="1"/>
      </rPr>
      <t>or equivalent)</t>
    </r>
  </si>
  <si>
    <r>
      <rPr>
        <sz val="12"/>
        <rFont val="Times New Roman"/>
        <family val="1"/>
      </rPr>
      <t xml:space="preserve">Channel 5 Perfume (1 Tola) (Saeed Ghani
</t>
    </r>
    <r>
      <rPr>
        <sz val="12"/>
        <rFont val="Times New Roman"/>
        <family val="1"/>
      </rPr>
      <t>or equivalent)</t>
    </r>
  </si>
  <si>
    <r>
      <rPr>
        <sz val="12"/>
        <rFont val="Times New Roman"/>
        <family val="1"/>
      </rPr>
      <t xml:space="preserve">Blue-d-Channel Perfume (1 Tola) (Saeed
</t>
    </r>
    <r>
      <rPr>
        <sz val="12"/>
        <rFont val="Times New Roman"/>
        <family val="1"/>
      </rPr>
      <t>Ghani or equivalent)</t>
    </r>
  </si>
  <si>
    <r>
      <rPr>
        <sz val="12"/>
        <rFont val="Times New Roman"/>
        <family val="1"/>
      </rPr>
      <t xml:space="preserve">Silver Oudh Perfume (1 Tola) (Saeed Ghani
</t>
    </r>
    <r>
      <rPr>
        <sz val="12"/>
        <rFont val="Times New Roman"/>
        <family val="1"/>
      </rPr>
      <t>or equivalent)</t>
    </r>
  </si>
  <si>
    <r>
      <rPr>
        <sz val="12"/>
        <rFont val="Times New Roman"/>
        <family val="1"/>
      </rPr>
      <t xml:space="preserve">Charlie Perfume (1 Tola) (Saeed Ghani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</si>
  <si>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Monica d.Blue Perfume (1 Tola) (Saeed
</t>
    </r>
    <r>
      <rPr>
        <sz val="12"/>
        <rFont val="Times New Roman"/>
        <family val="1"/>
      </rPr>
      <t>Ghani or equivalent)</t>
    </r>
  </si>
  <si>
    <r>
      <rPr>
        <sz val="12"/>
        <rFont val="Times New Roman"/>
        <family val="1"/>
      </rPr>
      <t xml:space="preserve">Aventu Creed Perfume (1 Tola) (Saeed
</t>
    </r>
    <r>
      <rPr>
        <sz val="12"/>
        <rFont val="Times New Roman"/>
        <family val="1"/>
      </rPr>
      <t>Ghani or equivalent)</t>
    </r>
  </si>
  <si>
    <r>
      <rPr>
        <sz val="12"/>
        <rFont val="Times New Roman"/>
        <family val="1"/>
      </rPr>
      <t xml:space="preserve">Gucci Perfume (1 Tola) (Saeed Ghani or
</t>
    </r>
    <r>
      <rPr>
        <sz val="12"/>
        <rFont val="Times New Roman"/>
        <family val="1"/>
      </rPr>
      <t>equivalent)</t>
    </r>
  </si>
  <si>
    <r>
      <rPr>
        <sz val="12"/>
        <rFont val="Times New Roman"/>
        <family val="1"/>
      </rPr>
      <t xml:space="preserve">Hand Lotion (160 ml) (Imported) (Vince or
</t>
    </r>
    <r>
      <rPr>
        <sz val="12"/>
        <rFont val="Times New Roman"/>
        <family val="1"/>
      </rPr>
      <t>equivalent)</t>
    </r>
  </si>
  <si>
    <t>COMPARATIVE STATEMENT OF RATES REGARDING TENDER FOR PROCUREMENT OF STATIONERY, OFFICE PAPER, SPECIALIZED STATIONERY AND MISCELLANEOUS ITEMS</t>
  </si>
  <si>
    <t>SENATE SECRETARIAT</t>
  </si>
  <si>
    <t>LOT-I : SUPPLY OF STATIONERY AND OTHER SPECIALIZED ITEMS</t>
  </si>
  <si>
    <t>FIRM NAME</t>
  </si>
  <si>
    <t>Ghazi Stationers</t>
  </si>
  <si>
    <t>Marco Traders</t>
  </si>
  <si>
    <t>Bahria Traders</t>
  </si>
  <si>
    <t>(Tender Bid Rates)</t>
  </si>
  <si>
    <t>(Market Rates)</t>
  </si>
  <si>
    <t>TOTAL</t>
  </si>
  <si>
    <t>Shakir Imtiaz Shaikh</t>
  </si>
  <si>
    <t>Hassan Farooq Dar</t>
  </si>
  <si>
    <t>Section Officer</t>
  </si>
  <si>
    <t>Sr. Finance &amp; Accounts Officer</t>
  </si>
  <si>
    <t>Member</t>
  </si>
  <si>
    <t>Qasim Omer</t>
  </si>
  <si>
    <t>Inam Ullah Jan</t>
  </si>
  <si>
    <t>Deputy Secretary</t>
  </si>
  <si>
    <t>Deputy Secretary (A-I)</t>
  </si>
  <si>
    <t>Abbas Ahmed Mir</t>
  </si>
  <si>
    <t>Joint Secretary (F&amp;A/C&amp;A)</t>
  </si>
  <si>
    <t>LOT-II : SUPPLY OF OFFICE PAPERS/SPECIALIZED PAPERS</t>
  </si>
  <si>
    <t>LOT-III : SUPPLY OF COMPUTER CONSUMABLE ITEMS</t>
  </si>
  <si>
    <t>LOT-IV : SUPPLY OF MISCELLANEOUS/GENERAL ITEMS</t>
  </si>
  <si>
    <t>Sohail Traders</t>
  </si>
  <si>
    <t>Hurrf Traders</t>
  </si>
  <si>
    <t>White   Offset   paper  A-4,   Size,   70   Gsm, Imported,    500    Sheets (IK, BLC or equivalent)</t>
  </si>
  <si>
    <t>Quantity</t>
  </si>
  <si>
    <t>Qty</t>
  </si>
  <si>
    <t>COMPARATIVE STATEMENT OF RATES REGARDING TENDER FOR PROCUREMENT OF STATIONERY, COMPUTER CONSUMABLE, OFFICE/SPECIALIZED PAPER, AND MISCELLANEOUS ITEMS FOR THE FINANCIAL YEAR 2025-26</t>
  </si>
  <si>
    <t>Chairman Committee</t>
  </si>
  <si>
    <t>Muhammad Fareed-ud-din</t>
  </si>
  <si>
    <t xml:space="preserve">                 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</si>
</sst>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"/>
    <numFmt numFmtId="165" formatCode="_-* #,##0_-;\-* #,##0_-;_-* &quot;-&quot;??_-;_-@_-"/>
  </numFmts>
  <fonts count="18" x14ac:knownFonts="1">
    <font>
      <sz val="10"/>
      <color rgb="FF000000"/>
      <name val="Times New Roman"/>
      <charset val="204"/>
    </font>
    <font>
      <b/>
      <sz val="12"/>
      <name val="Times New Roman"/>
    </font>
    <font>
      <sz val="11"/>
      <color rgb="FF000000"/>
      <name val="Times New Roman"/>
      <family val="2"/>
    </font>
    <font>
      <sz val="12"/>
      <name val="Times New Roman"/>
    </font>
    <font>
      <sz val="12"/>
      <color rgb="FF000000"/>
      <name val="Times New Roman"/>
      <family val="2"/>
    </font>
    <font>
      <sz val="11"/>
      <color rgb="FF0C0C0C"/>
      <name val="Times New Roman"/>
      <family val="2"/>
    </font>
    <font>
      <b/>
      <u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8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rgb="FF000000"/>
      <name val="Times New Roman"/>
      <family val="1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76">
    <xf numFmtId="0" fontId="0" fillId="0" borderId="0" xfId="0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left" vertical="top" shrinkToFit="1"/>
    </xf>
    <xf numFmtId="164" fontId="5" fillId="0" borderId="1" xfId="0" applyNumberFormat="1" applyFont="1" applyFill="1" applyBorder="1" applyAlignment="1">
      <alignment horizontal="left" vertical="top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164" fontId="4" fillId="0" borderId="1" xfId="0" applyNumberFormat="1" applyFont="1" applyFill="1" applyBorder="1" applyAlignment="1">
      <alignment horizontal="left" vertical="top" shrinkToFit="1"/>
    </xf>
    <xf numFmtId="164" fontId="4" fillId="0" borderId="1" xfId="0" applyNumberFormat="1" applyFont="1" applyFill="1" applyBorder="1" applyAlignment="1">
      <alignment horizontal="center" vertical="top" shrinkToFit="1"/>
    </xf>
    <xf numFmtId="0" fontId="7" fillId="0" borderId="5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1" fontId="4" fillId="0" borderId="1" xfId="0" applyNumberFormat="1" applyFont="1" applyFill="1" applyBorder="1" applyAlignment="1">
      <alignment horizontal="center" vertical="center" shrinkToFit="1"/>
    </xf>
    <xf numFmtId="3" fontId="4" fillId="0" borderId="1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left" vertical="center"/>
    </xf>
    <xf numFmtId="164" fontId="4" fillId="0" borderId="11" xfId="0" applyNumberFormat="1" applyFont="1" applyFill="1" applyBorder="1" applyAlignment="1">
      <alignment horizontal="left" vertical="top" shrinkToFit="1"/>
    </xf>
    <xf numFmtId="1" fontId="4" fillId="0" borderId="11" xfId="0" applyNumberFormat="1" applyFont="1" applyFill="1" applyBorder="1" applyAlignment="1">
      <alignment horizontal="center" vertical="center" shrinkToFit="1"/>
    </xf>
    <xf numFmtId="0" fontId="13" fillId="0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top"/>
    </xf>
    <xf numFmtId="164" fontId="4" fillId="0" borderId="11" xfId="0" applyNumberFormat="1" applyFont="1" applyFill="1" applyBorder="1" applyAlignment="1">
      <alignment horizontal="center" vertical="top" shrinkToFit="1"/>
    </xf>
    <xf numFmtId="0" fontId="14" fillId="0" borderId="0" xfId="0" applyFont="1"/>
    <xf numFmtId="0" fontId="8" fillId="0" borderId="0" xfId="0" applyFont="1"/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top" wrapText="1"/>
    </xf>
    <xf numFmtId="165" fontId="1" fillId="2" borderId="6" xfId="1" applyNumberFormat="1" applyFont="1" applyFill="1" applyBorder="1" applyAlignment="1">
      <alignment horizontal="center" vertical="top" wrapText="1"/>
    </xf>
    <xf numFmtId="165" fontId="1" fillId="2" borderId="7" xfId="1" applyNumberFormat="1" applyFont="1" applyFill="1" applyBorder="1" applyAlignment="1">
      <alignment horizontal="center" vertical="top" wrapText="1"/>
    </xf>
    <xf numFmtId="165" fontId="1" fillId="2" borderId="10" xfId="1" applyNumberFormat="1" applyFon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horizontal="right" vertical="center" shrinkToFit="1"/>
    </xf>
    <xf numFmtId="0" fontId="4" fillId="0" borderId="1" xfId="1" applyNumberFormat="1" applyFont="1" applyFill="1" applyBorder="1" applyAlignment="1">
      <alignment horizontal="right" vertical="center" wrapText="1"/>
    </xf>
    <xf numFmtId="0" fontId="4" fillId="0" borderId="2" xfId="1" applyNumberFormat="1" applyFont="1" applyFill="1" applyBorder="1" applyAlignment="1">
      <alignment horizontal="right" vertical="center" wrapText="1"/>
    </xf>
    <xf numFmtId="0" fontId="4" fillId="0" borderId="5" xfId="1" applyNumberFormat="1" applyFont="1" applyFill="1" applyBorder="1" applyAlignment="1">
      <alignment horizontal="right" vertical="center"/>
    </xf>
    <xf numFmtId="0" fontId="4" fillId="0" borderId="11" xfId="0" applyNumberFormat="1" applyFont="1" applyFill="1" applyBorder="1" applyAlignment="1">
      <alignment horizontal="right" vertical="center" shrinkToFit="1"/>
    </xf>
    <xf numFmtId="0" fontId="4" fillId="0" borderId="11" xfId="1" applyNumberFormat="1" applyFont="1" applyFill="1" applyBorder="1" applyAlignment="1">
      <alignment horizontal="right" vertical="center" wrapText="1"/>
    </xf>
    <xf numFmtId="0" fontId="4" fillId="0" borderId="12" xfId="1" applyNumberFormat="1" applyFont="1" applyFill="1" applyBorder="1" applyAlignment="1">
      <alignment horizontal="right" vertical="center" wrapText="1"/>
    </xf>
    <xf numFmtId="0" fontId="4" fillId="0" borderId="14" xfId="1" applyNumberFormat="1" applyFont="1" applyFill="1" applyBorder="1" applyAlignment="1">
      <alignment horizontal="right" vertical="center"/>
    </xf>
    <xf numFmtId="0" fontId="4" fillId="0" borderId="6" xfId="1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1" fillId="3" borderId="2" xfId="0" applyFont="1" applyFill="1" applyBorder="1" applyAlignment="1">
      <alignment horizontal="center" vertical="top" wrapText="1"/>
    </xf>
    <xf numFmtId="0" fontId="11" fillId="3" borderId="4" xfId="0" applyFont="1" applyFill="1" applyBorder="1" applyAlignment="1">
      <alignment horizontal="center" vertical="top" wrapText="1"/>
    </xf>
    <xf numFmtId="0" fontId="11" fillId="3" borderId="3" xfId="0" applyFont="1" applyFill="1" applyBorder="1" applyAlignment="1">
      <alignment horizontal="center" vertical="top" wrapText="1"/>
    </xf>
    <xf numFmtId="165" fontId="10" fillId="3" borderId="2" xfId="1" applyNumberFormat="1" applyFont="1" applyFill="1" applyBorder="1" applyAlignment="1">
      <alignment horizontal="right" vertical="center" wrapText="1"/>
    </xf>
    <xf numFmtId="165" fontId="10" fillId="3" borderId="3" xfId="1" applyNumberFormat="1" applyFont="1" applyFill="1" applyBorder="1" applyAlignment="1">
      <alignment horizontal="right" vertical="center" wrapText="1"/>
    </xf>
    <xf numFmtId="0" fontId="13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top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top" wrapText="1"/>
    </xf>
    <xf numFmtId="0" fontId="7" fillId="0" borderId="9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165" fontId="11" fillId="3" borderId="5" xfId="1" applyNumberFormat="1" applyFont="1" applyFill="1" applyBorder="1" applyAlignment="1">
      <alignment horizontal="right" vertical="center"/>
    </xf>
    <xf numFmtId="165" fontId="11" fillId="3" borderId="5" xfId="1" applyNumberFormat="1" applyFont="1" applyFill="1" applyBorder="1" applyAlignment="1">
      <alignment horizontal="right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top"/>
    </xf>
    <xf numFmtId="0" fontId="12" fillId="3" borderId="5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left" vertical="top" wrapText="1"/>
    </xf>
    <xf numFmtId="165" fontId="11" fillId="3" borderId="5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1345335</xdr:colOff>
      <xdr:row>100</xdr:row>
      <xdr:rowOff>0</xdr:rowOff>
    </xdr:from>
    <xdr:ext cx="3195955" cy="0"/>
    <xdr:sp macro="" textlink="">
      <xdr:nvSpPr>
        <xdr:cNvPr id="2" name="Shape 2"/>
        <xdr:cNvSpPr/>
      </xdr:nvSpPr>
      <xdr:spPr>
        <a:xfrm>
          <a:off x="0" y="0"/>
          <a:ext cx="3195955" cy="0"/>
        </a:xfrm>
        <a:custGeom>
          <a:avLst/>
          <a:gdLst/>
          <a:ahLst/>
          <a:cxnLst/>
          <a:rect l="0" t="0" r="0" b="0"/>
          <a:pathLst>
            <a:path w="3195955">
              <a:moveTo>
                <a:pt x="0" y="0"/>
              </a:moveTo>
              <a:lnTo>
                <a:pt x="3195860" y="0"/>
              </a:lnTo>
            </a:path>
          </a:pathLst>
        </a:custGeom>
        <a:ln w="9583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8"/>
  <sheetViews>
    <sheetView view="pageBreakPreview" zoomScale="50" zoomScaleNormal="80" zoomScaleSheetLayoutView="50" workbookViewId="0">
      <selection activeCell="A138" sqref="A1:J138"/>
    </sheetView>
  </sheetViews>
  <sheetFormatPr defaultRowHeight="12.75" x14ac:dyDescent="0.2"/>
  <cols>
    <col min="1" max="1" width="7.1640625" customWidth="1"/>
    <col min="2" max="2" width="2.6640625" customWidth="1"/>
    <col min="3" max="3" width="45.1640625" customWidth="1"/>
    <col min="4" max="4" width="11.5" style="11" customWidth="1"/>
    <col min="5" max="6" width="16" customWidth="1"/>
    <col min="7" max="7" width="15.1640625" customWidth="1"/>
    <col min="8" max="8" width="16" customWidth="1"/>
    <col min="9" max="9" width="15.1640625" customWidth="1"/>
    <col min="10" max="10" width="16" customWidth="1"/>
  </cols>
  <sheetData>
    <row r="1" spans="1:12" ht="22.5" x14ac:dyDescent="0.2">
      <c r="A1" s="55" t="s">
        <v>236</v>
      </c>
      <c r="B1" s="55"/>
      <c r="C1" s="55"/>
      <c r="D1" s="55"/>
      <c r="E1" s="55"/>
      <c r="F1" s="55"/>
      <c r="G1" s="55"/>
      <c r="H1" s="55"/>
      <c r="I1" s="55"/>
      <c r="J1" s="55"/>
    </row>
    <row r="2" spans="1:12" ht="53.25" customHeight="1" x14ac:dyDescent="0.2">
      <c r="A2" s="56" t="s">
        <v>264</v>
      </c>
      <c r="B2" s="56"/>
      <c r="C2" s="56"/>
      <c r="D2" s="56"/>
      <c r="E2" s="56"/>
      <c r="F2" s="56"/>
      <c r="G2" s="56"/>
      <c r="H2" s="56"/>
      <c r="I2" s="56"/>
      <c r="J2" s="56"/>
    </row>
    <row r="3" spans="1:12" ht="17.25" customHeight="1" x14ac:dyDescent="0.2">
      <c r="A3" s="57" t="s">
        <v>237</v>
      </c>
      <c r="B3" s="57"/>
      <c r="C3" s="57"/>
      <c r="D3" s="57"/>
      <c r="E3" s="57"/>
      <c r="F3" s="57"/>
      <c r="G3" s="57"/>
      <c r="H3" s="57"/>
      <c r="I3" s="57"/>
      <c r="J3" s="57"/>
    </row>
    <row r="4" spans="1:12" s="23" customFormat="1" ht="30.75" customHeight="1" x14ac:dyDescent="0.2">
      <c r="A4" s="50"/>
      <c r="B4" s="49" t="s">
        <v>238</v>
      </c>
      <c r="C4" s="49"/>
      <c r="D4" s="47" t="s">
        <v>239</v>
      </c>
      <c r="E4" s="47"/>
      <c r="F4" s="47"/>
      <c r="G4" s="47" t="s">
        <v>240</v>
      </c>
      <c r="H4" s="47"/>
      <c r="I4" s="47" t="s">
        <v>241</v>
      </c>
      <c r="J4" s="47"/>
    </row>
    <row r="5" spans="1:12" ht="17.25" customHeight="1" x14ac:dyDescent="0.2">
      <c r="A5" s="50"/>
      <c r="B5" s="49"/>
      <c r="C5" s="49"/>
      <c r="D5" s="48" t="s">
        <v>242</v>
      </c>
      <c r="E5" s="48"/>
      <c r="F5" s="48"/>
      <c r="G5" s="48" t="s">
        <v>243</v>
      </c>
      <c r="H5" s="48"/>
      <c r="I5" s="48" t="s">
        <v>243</v>
      </c>
      <c r="J5" s="48"/>
    </row>
    <row r="6" spans="1:12" ht="49.5" customHeight="1" x14ac:dyDescent="0.2">
      <c r="A6" s="25" t="s">
        <v>0</v>
      </c>
      <c r="B6" s="58" t="s">
        <v>1</v>
      </c>
      <c r="C6" s="59"/>
      <c r="D6" s="15" t="s">
        <v>263</v>
      </c>
      <c r="E6" s="27" t="s">
        <v>2</v>
      </c>
      <c r="F6" s="28" t="s">
        <v>3</v>
      </c>
      <c r="G6" s="29" t="s">
        <v>2</v>
      </c>
      <c r="H6" s="29" t="s">
        <v>3</v>
      </c>
      <c r="I6" s="29" t="s">
        <v>2</v>
      </c>
      <c r="J6" s="29" t="s">
        <v>3</v>
      </c>
    </row>
    <row r="7" spans="1:12" ht="32.1" customHeight="1" x14ac:dyDescent="0.2">
      <c r="A7" s="1">
        <v>1</v>
      </c>
      <c r="B7" s="53" t="s">
        <v>4</v>
      </c>
      <c r="C7" s="54"/>
      <c r="D7" s="9">
        <v>500</v>
      </c>
      <c r="E7" s="31">
        <v>188.8</v>
      </c>
      <c r="F7" s="31">
        <f>E7*D7</f>
        <v>94400</v>
      </c>
      <c r="G7" s="38">
        <f>L7*0.18+L7</f>
        <v>223.01999999999998</v>
      </c>
      <c r="H7" s="38">
        <f>G7*D7</f>
        <v>111509.99999999999</v>
      </c>
      <c r="I7" s="38">
        <v>194.7</v>
      </c>
      <c r="J7" s="38">
        <f>I7*D7</f>
        <v>97350</v>
      </c>
      <c r="L7">
        <v>189</v>
      </c>
    </row>
    <row r="8" spans="1:12" ht="32.1" customHeight="1" x14ac:dyDescent="0.2">
      <c r="A8" s="1">
        <v>2</v>
      </c>
      <c r="B8" s="53" t="s">
        <v>5</v>
      </c>
      <c r="C8" s="54"/>
      <c r="D8" s="9">
        <v>100</v>
      </c>
      <c r="E8" s="31">
        <v>486.16</v>
      </c>
      <c r="F8" s="31">
        <f t="shared" ref="F8:F71" si="0">E8*D8</f>
        <v>48616</v>
      </c>
      <c r="G8" s="38">
        <f t="shared" ref="G8:G71" si="1">L8*0.18+L8</f>
        <v>552.24</v>
      </c>
      <c r="H8" s="38">
        <f t="shared" ref="H8:H71" si="2">G8*D8</f>
        <v>55224</v>
      </c>
      <c r="I8" s="31">
        <v>495.6</v>
      </c>
      <c r="J8" s="38">
        <f t="shared" ref="J8:J71" si="3">I8*D8</f>
        <v>49560</v>
      </c>
      <c r="L8">
        <v>468</v>
      </c>
    </row>
    <row r="9" spans="1:12" ht="32.1" customHeight="1" x14ac:dyDescent="0.2">
      <c r="A9" s="1">
        <v>3</v>
      </c>
      <c r="B9" s="53" t="s">
        <v>6</v>
      </c>
      <c r="C9" s="54"/>
      <c r="D9" s="9">
        <v>100</v>
      </c>
      <c r="E9" s="31">
        <v>486.16</v>
      </c>
      <c r="F9" s="31">
        <f t="shared" si="0"/>
        <v>48616</v>
      </c>
      <c r="G9" s="38">
        <f t="shared" si="1"/>
        <v>552.24</v>
      </c>
      <c r="H9" s="38">
        <f t="shared" si="2"/>
        <v>55224</v>
      </c>
      <c r="I9" s="31">
        <v>495.6</v>
      </c>
      <c r="J9" s="38">
        <f t="shared" si="3"/>
        <v>49560</v>
      </c>
      <c r="L9">
        <v>468</v>
      </c>
    </row>
    <row r="10" spans="1:12" ht="32.1" customHeight="1" x14ac:dyDescent="0.2">
      <c r="A10" s="1">
        <v>4</v>
      </c>
      <c r="B10" s="53" t="s">
        <v>7</v>
      </c>
      <c r="C10" s="54"/>
      <c r="D10" s="9">
        <v>150</v>
      </c>
      <c r="E10" s="31">
        <v>486.16</v>
      </c>
      <c r="F10" s="31">
        <f t="shared" si="0"/>
        <v>72924</v>
      </c>
      <c r="G10" s="38">
        <f t="shared" si="1"/>
        <v>552.24</v>
      </c>
      <c r="H10" s="38">
        <f t="shared" si="2"/>
        <v>82836</v>
      </c>
      <c r="I10" s="31">
        <v>495.6</v>
      </c>
      <c r="J10" s="38">
        <f t="shared" si="3"/>
        <v>74340</v>
      </c>
      <c r="L10">
        <v>468</v>
      </c>
    </row>
    <row r="11" spans="1:12" ht="32.1" customHeight="1" x14ac:dyDescent="0.2">
      <c r="A11" s="1">
        <v>5</v>
      </c>
      <c r="B11" s="51" t="s">
        <v>8</v>
      </c>
      <c r="C11" s="52"/>
      <c r="D11" s="9">
        <v>150</v>
      </c>
      <c r="E11" s="31">
        <v>486.16</v>
      </c>
      <c r="F11" s="31">
        <f t="shared" si="0"/>
        <v>72924</v>
      </c>
      <c r="G11" s="38">
        <f t="shared" si="1"/>
        <v>552.24</v>
      </c>
      <c r="H11" s="38">
        <f t="shared" si="2"/>
        <v>82836</v>
      </c>
      <c r="I11" s="31">
        <v>495.6</v>
      </c>
      <c r="J11" s="38">
        <f t="shared" si="3"/>
        <v>74340</v>
      </c>
      <c r="L11">
        <v>468</v>
      </c>
    </row>
    <row r="12" spans="1:12" ht="32.1" customHeight="1" x14ac:dyDescent="0.2">
      <c r="A12" s="1">
        <v>6</v>
      </c>
      <c r="B12" s="53" t="s">
        <v>9</v>
      </c>
      <c r="C12" s="54"/>
      <c r="D12" s="10">
        <v>5000</v>
      </c>
      <c r="E12" s="31">
        <v>1.5</v>
      </c>
      <c r="F12" s="31">
        <f t="shared" si="0"/>
        <v>7500</v>
      </c>
      <c r="G12" s="38">
        <f t="shared" si="1"/>
        <v>3.54</v>
      </c>
      <c r="H12" s="38">
        <f t="shared" si="2"/>
        <v>17700</v>
      </c>
      <c r="I12" s="31">
        <v>2.36</v>
      </c>
      <c r="J12" s="38">
        <f t="shared" si="3"/>
        <v>11800</v>
      </c>
      <c r="L12">
        <v>3</v>
      </c>
    </row>
    <row r="13" spans="1:12" ht="32.1" customHeight="1" x14ac:dyDescent="0.2">
      <c r="A13" s="1">
        <v>7</v>
      </c>
      <c r="B13" s="53" t="s">
        <v>10</v>
      </c>
      <c r="C13" s="54"/>
      <c r="D13" s="10">
        <v>70000</v>
      </c>
      <c r="E13" s="31">
        <v>1.68</v>
      </c>
      <c r="F13" s="31">
        <f t="shared" si="0"/>
        <v>117600</v>
      </c>
      <c r="G13" s="38">
        <f t="shared" si="1"/>
        <v>4.13</v>
      </c>
      <c r="H13" s="38">
        <f t="shared" si="2"/>
        <v>289100</v>
      </c>
      <c r="I13" s="31">
        <v>3.07</v>
      </c>
      <c r="J13" s="38">
        <f t="shared" si="3"/>
        <v>214900</v>
      </c>
      <c r="L13">
        <v>3.5</v>
      </c>
    </row>
    <row r="14" spans="1:12" ht="32.1" customHeight="1" x14ac:dyDescent="0.2">
      <c r="A14" s="1">
        <v>8</v>
      </c>
      <c r="B14" s="53" t="s">
        <v>11</v>
      </c>
      <c r="C14" s="54"/>
      <c r="D14" s="10">
        <v>10000</v>
      </c>
      <c r="E14" s="31">
        <v>3.46</v>
      </c>
      <c r="F14" s="31">
        <f t="shared" si="0"/>
        <v>34600</v>
      </c>
      <c r="G14" s="38">
        <f t="shared" si="1"/>
        <v>4.72</v>
      </c>
      <c r="H14" s="38">
        <f t="shared" si="2"/>
        <v>47200</v>
      </c>
      <c r="I14" s="31">
        <v>4.13</v>
      </c>
      <c r="J14" s="38">
        <f t="shared" si="3"/>
        <v>41300</v>
      </c>
      <c r="L14">
        <v>4</v>
      </c>
    </row>
    <row r="15" spans="1:12" ht="32.1" customHeight="1" x14ac:dyDescent="0.2">
      <c r="A15" s="1">
        <v>9</v>
      </c>
      <c r="B15" s="53" t="s">
        <v>12</v>
      </c>
      <c r="C15" s="54"/>
      <c r="D15" s="10">
        <v>50000</v>
      </c>
      <c r="E15" s="31">
        <v>4.63</v>
      </c>
      <c r="F15" s="31">
        <f t="shared" si="0"/>
        <v>231500</v>
      </c>
      <c r="G15" s="38">
        <f t="shared" si="1"/>
        <v>7.08</v>
      </c>
      <c r="H15" s="38">
        <f t="shared" si="2"/>
        <v>354000</v>
      </c>
      <c r="I15" s="31">
        <v>5.9</v>
      </c>
      <c r="J15" s="38">
        <f t="shared" si="3"/>
        <v>295000</v>
      </c>
      <c r="L15">
        <v>6</v>
      </c>
    </row>
    <row r="16" spans="1:12" ht="32.1" customHeight="1" x14ac:dyDescent="0.2">
      <c r="A16" s="1">
        <v>10</v>
      </c>
      <c r="B16" s="53" t="s">
        <v>13</v>
      </c>
      <c r="C16" s="54"/>
      <c r="D16" s="10">
        <v>1000</v>
      </c>
      <c r="E16" s="31">
        <v>3.68</v>
      </c>
      <c r="F16" s="31">
        <f t="shared" si="0"/>
        <v>3680</v>
      </c>
      <c r="G16" s="38">
        <f t="shared" si="1"/>
        <v>5.9</v>
      </c>
      <c r="H16" s="38">
        <f t="shared" si="2"/>
        <v>5900</v>
      </c>
      <c r="I16" s="31">
        <v>4.72</v>
      </c>
      <c r="J16" s="38">
        <f t="shared" si="3"/>
        <v>4720</v>
      </c>
      <c r="L16">
        <v>5</v>
      </c>
    </row>
    <row r="17" spans="1:12" ht="32.1" customHeight="1" x14ac:dyDescent="0.2">
      <c r="A17" s="1">
        <v>11</v>
      </c>
      <c r="B17" s="53" t="s">
        <v>14</v>
      </c>
      <c r="C17" s="54"/>
      <c r="D17" s="9">
        <v>500</v>
      </c>
      <c r="E17" s="31">
        <v>9.32</v>
      </c>
      <c r="F17" s="31">
        <f t="shared" si="0"/>
        <v>4660</v>
      </c>
      <c r="G17" s="38">
        <f t="shared" si="1"/>
        <v>11.8</v>
      </c>
      <c r="H17" s="38">
        <f t="shared" si="2"/>
        <v>5900</v>
      </c>
      <c r="I17" s="31">
        <v>10.62</v>
      </c>
      <c r="J17" s="38">
        <f t="shared" si="3"/>
        <v>5310</v>
      </c>
      <c r="L17">
        <v>10</v>
      </c>
    </row>
    <row r="18" spans="1:12" ht="32.1" customHeight="1" x14ac:dyDescent="0.2">
      <c r="A18" s="1">
        <v>12</v>
      </c>
      <c r="B18" s="53" t="s">
        <v>15</v>
      </c>
      <c r="C18" s="54"/>
      <c r="D18" s="9">
        <v>50</v>
      </c>
      <c r="E18" s="31">
        <v>153.4</v>
      </c>
      <c r="F18" s="31">
        <f t="shared" si="0"/>
        <v>7670</v>
      </c>
      <c r="G18" s="38">
        <f t="shared" si="1"/>
        <v>181.72</v>
      </c>
      <c r="H18" s="38">
        <f t="shared" si="2"/>
        <v>9086</v>
      </c>
      <c r="I18" s="31">
        <v>159.30000000000001</v>
      </c>
      <c r="J18" s="38">
        <f t="shared" si="3"/>
        <v>7965.0000000000009</v>
      </c>
      <c r="L18">
        <v>154</v>
      </c>
    </row>
    <row r="19" spans="1:12" ht="32.1" customHeight="1" x14ac:dyDescent="0.2">
      <c r="A19" s="1">
        <v>13</v>
      </c>
      <c r="B19" s="51" t="s">
        <v>16</v>
      </c>
      <c r="C19" s="52"/>
      <c r="D19" s="9">
        <v>300</v>
      </c>
      <c r="E19" s="31">
        <v>59</v>
      </c>
      <c r="F19" s="31">
        <f t="shared" si="0"/>
        <v>17700</v>
      </c>
      <c r="G19" s="38">
        <f t="shared" si="1"/>
        <v>73.16</v>
      </c>
      <c r="H19" s="38">
        <f t="shared" si="2"/>
        <v>21948</v>
      </c>
      <c r="I19" s="31">
        <v>63.72</v>
      </c>
      <c r="J19" s="38">
        <f t="shared" si="3"/>
        <v>19116</v>
      </c>
      <c r="L19">
        <v>62</v>
      </c>
    </row>
    <row r="20" spans="1:12" ht="32.1" customHeight="1" x14ac:dyDescent="0.2">
      <c r="A20" s="1">
        <v>14</v>
      </c>
      <c r="B20" s="51" t="s">
        <v>17</v>
      </c>
      <c r="C20" s="52"/>
      <c r="D20" s="9">
        <v>200</v>
      </c>
      <c r="E20" s="31">
        <v>82.6</v>
      </c>
      <c r="F20" s="31">
        <f t="shared" si="0"/>
        <v>16520</v>
      </c>
      <c r="G20" s="38">
        <f t="shared" si="1"/>
        <v>101.48</v>
      </c>
      <c r="H20" s="38">
        <f t="shared" si="2"/>
        <v>20296</v>
      </c>
      <c r="I20" s="31">
        <v>88.5</v>
      </c>
      <c r="J20" s="38">
        <f t="shared" si="3"/>
        <v>17700</v>
      </c>
      <c r="L20">
        <v>86</v>
      </c>
    </row>
    <row r="21" spans="1:12" ht="32.1" customHeight="1" x14ac:dyDescent="0.2">
      <c r="A21" s="1">
        <v>15</v>
      </c>
      <c r="B21" s="51" t="s">
        <v>18</v>
      </c>
      <c r="C21" s="52"/>
      <c r="D21" s="9">
        <v>50</v>
      </c>
      <c r="E21" s="31">
        <v>118</v>
      </c>
      <c r="F21" s="31">
        <f t="shared" si="0"/>
        <v>5900</v>
      </c>
      <c r="G21" s="38">
        <f t="shared" si="1"/>
        <v>110.92</v>
      </c>
      <c r="H21" s="38">
        <f t="shared" si="2"/>
        <v>5546</v>
      </c>
      <c r="I21" s="31">
        <v>127.44</v>
      </c>
      <c r="J21" s="38">
        <f t="shared" si="3"/>
        <v>6372</v>
      </c>
      <c r="L21">
        <v>94</v>
      </c>
    </row>
    <row r="22" spans="1:12" ht="32.1" customHeight="1" x14ac:dyDescent="0.2">
      <c r="A22" s="1">
        <v>16</v>
      </c>
      <c r="B22" s="51" t="s">
        <v>19</v>
      </c>
      <c r="C22" s="52"/>
      <c r="D22" s="9">
        <v>50</v>
      </c>
      <c r="E22" s="31">
        <v>135.69999999999999</v>
      </c>
      <c r="F22" s="31">
        <f t="shared" si="0"/>
        <v>6784.9999999999991</v>
      </c>
      <c r="G22" s="38">
        <f t="shared" si="1"/>
        <v>132.16</v>
      </c>
      <c r="H22" s="38">
        <f t="shared" si="2"/>
        <v>6608</v>
      </c>
      <c r="I22" s="31">
        <v>139.24</v>
      </c>
      <c r="J22" s="38">
        <f t="shared" si="3"/>
        <v>6962</v>
      </c>
      <c r="L22">
        <v>112</v>
      </c>
    </row>
    <row r="23" spans="1:12" ht="32.1" customHeight="1" x14ac:dyDescent="0.2">
      <c r="A23" s="1">
        <v>17</v>
      </c>
      <c r="B23" s="51" t="s">
        <v>20</v>
      </c>
      <c r="C23" s="52"/>
      <c r="D23" s="9">
        <v>350</v>
      </c>
      <c r="E23" s="31">
        <v>177</v>
      </c>
      <c r="F23" s="31">
        <f t="shared" si="0"/>
        <v>61950</v>
      </c>
      <c r="G23" s="38">
        <f t="shared" si="1"/>
        <v>210.04</v>
      </c>
      <c r="H23" s="38">
        <f t="shared" si="2"/>
        <v>73514</v>
      </c>
      <c r="I23" s="31">
        <v>173.46</v>
      </c>
      <c r="J23" s="38">
        <f t="shared" si="3"/>
        <v>60711</v>
      </c>
      <c r="L23">
        <v>178</v>
      </c>
    </row>
    <row r="24" spans="1:12" ht="32.1" customHeight="1" x14ac:dyDescent="0.2">
      <c r="A24" s="1">
        <v>18</v>
      </c>
      <c r="B24" s="53" t="s">
        <v>21</v>
      </c>
      <c r="C24" s="54"/>
      <c r="D24" s="9">
        <v>70</v>
      </c>
      <c r="E24" s="31">
        <v>212.4</v>
      </c>
      <c r="F24" s="31">
        <f t="shared" si="0"/>
        <v>14868</v>
      </c>
      <c r="G24" s="38">
        <f t="shared" si="1"/>
        <v>253.7</v>
      </c>
      <c r="H24" s="38">
        <f t="shared" si="2"/>
        <v>17759</v>
      </c>
      <c r="I24" s="31">
        <v>218.3</v>
      </c>
      <c r="J24" s="38">
        <f t="shared" si="3"/>
        <v>15281</v>
      </c>
      <c r="L24">
        <v>215</v>
      </c>
    </row>
    <row r="25" spans="1:12" ht="32.1" customHeight="1" x14ac:dyDescent="0.2">
      <c r="A25" s="1">
        <v>19</v>
      </c>
      <c r="B25" s="51" t="s">
        <v>22</v>
      </c>
      <c r="C25" s="52"/>
      <c r="D25" s="9">
        <v>10</v>
      </c>
      <c r="E25" s="31">
        <v>5841</v>
      </c>
      <c r="F25" s="31">
        <f t="shared" si="0"/>
        <v>58410</v>
      </c>
      <c r="G25" s="38">
        <f t="shared" si="1"/>
        <v>7528.4</v>
      </c>
      <c r="H25" s="38">
        <f t="shared" si="2"/>
        <v>75284</v>
      </c>
      <c r="I25" s="31">
        <v>6466.4</v>
      </c>
      <c r="J25" s="38">
        <f t="shared" si="3"/>
        <v>64664</v>
      </c>
      <c r="L25">
        <v>6380</v>
      </c>
    </row>
    <row r="26" spans="1:12" ht="32.1" customHeight="1" x14ac:dyDescent="0.2">
      <c r="A26" s="1">
        <v>20</v>
      </c>
      <c r="B26" s="53" t="s">
        <v>23</v>
      </c>
      <c r="C26" s="54"/>
      <c r="D26" s="9">
        <v>500</v>
      </c>
      <c r="E26" s="31">
        <v>318.60000000000002</v>
      </c>
      <c r="F26" s="31">
        <f t="shared" si="0"/>
        <v>159300</v>
      </c>
      <c r="G26" s="38">
        <f t="shared" si="1"/>
        <v>383.5</v>
      </c>
      <c r="H26" s="38">
        <f t="shared" si="2"/>
        <v>191750</v>
      </c>
      <c r="I26" s="31">
        <v>336.3</v>
      </c>
      <c r="J26" s="38">
        <f t="shared" si="3"/>
        <v>168150</v>
      </c>
      <c r="L26">
        <v>325</v>
      </c>
    </row>
    <row r="27" spans="1:12" ht="32.1" customHeight="1" x14ac:dyDescent="0.2">
      <c r="A27" s="1">
        <v>21</v>
      </c>
      <c r="B27" s="51" t="s">
        <v>24</v>
      </c>
      <c r="C27" s="52"/>
      <c r="D27" s="9">
        <v>20</v>
      </c>
      <c r="E27" s="31">
        <v>118</v>
      </c>
      <c r="F27" s="31">
        <f t="shared" si="0"/>
        <v>2360</v>
      </c>
      <c r="G27" s="38">
        <f t="shared" si="1"/>
        <v>148.68</v>
      </c>
      <c r="H27" s="38">
        <f t="shared" si="2"/>
        <v>2973.6000000000004</v>
      </c>
      <c r="I27" s="31">
        <v>127.44</v>
      </c>
      <c r="J27" s="38">
        <f t="shared" si="3"/>
        <v>2548.8000000000002</v>
      </c>
      <c r="L27">
        <v>126</v>
      </c>
    </row>
    <row r="28" spans="1:12" ht="32.1" customHeight="1" x14ac:dyDescent="0.2">
      <c r="A28" s="1">
        <v>22</v>
      </c>
      <c r="B28" s="51" t="s">
        <v>25</v>
      </c>
      <c r="C28" s="52"/>
      <c r="D28" s="9">
        <v>20</v>
      </c>
      <c r="E28" s="31">
        <v>135.69999999999999</v>
      </c>
      <c r="F28" s="31">
        <f t="shared" si="0"/>
        <v>2714</v>
      </c>
      <c r="G28" s="38">
        <f t="shared" si="1"/>
        <v>166.38</v>
      </c>
      <c r="H28" s="38">
        <f t="shared" si="2"/>
        <v>3327.6</v>
      </c>
      <c r="I28" s="31">
        <v>143.96</v>
      </c>
      <c r="J28" s="38">
        <f t="shared" si="3"/>
        <v>2879.2000000000003</v>
      </c>
      <c r="L28">
        <v>141</v>
      </c>
    </row>
    <row r="29" spans="1:12" ht="32.1" customHeight="1" x14ac:dyDescent="0.2">
      <c r="A29" s="1">
        <v>23</v>
      </c>
      <c r="B29" s="51" t="s">
        <v>26</v>
      </c>
      <c r="C29" s="52"/>
      <c r="D29" s="9">
        <v>20</v>
      </c>
      <c r="E29" s="31">
        <v>159.30000000000001</v>
      </c>
      <c r="F29" s="31">
        <f t="shared" si="0"/>
        <v>3186</v>
      </c>
      <c r="G29" s="38">
        <f t="shared" si="1"/>
        <v>195.88</v>
      </c>
      <c r="H29" s="38">
        <f t="shared" si="2"/>
        <v>3917.6</v>
      </c>
      <c r="I29" s="31">
        <v>169.92</v>
      </c>
      <c r="J29" s="38">
        <f t="shared" si="3"/>
        <v>3398.3999999999996</v>
      </c>
      <c r="L29">
        <v>166</v>
      </c>
    </row>
    <row r="30" spans="1:12" ht="32.1" customHeight="1" x14ac:dyDescent="0.2">
      <c r="A30" s="1">
        <v>24</v>
      </c>
      <c r="B30" s="51" t="s">
        <v>27</v>
      </c>
      <c r="C30" s="52"/>
      <c r="D30" s="9">
        <v>20</v>
      </c>
      <c r="E30" s="31">
        <v>188.8</v>
      </c>
      <c r="F30" s="31">
        <f t="shared" si="0"/>
        <v>3776</v>
      </c>
      <c r="G30" s="38">
        <f t="shared" si="1"/>
        <v>225.38</v>
      </c>
      <c r="H30" s="38">
        <f t="shared" si="2"/>
        <v>4507.6000000000004</v>
      </c>
      <c r="I30" s="31">
        <v>194.7</v>
      </c>
      <c r="J30" s="38">
        <f t="shared" si="3"/>
        <v>3894</v>
      </c>
      <c r="L30">
        <v>191</v>
      </c>
    </row>
    <row r="31" spans="1:12" ht="32.1" customHeight="1" x14ac:dyDescent="0.2">
      <c r="A31" s="1">
        <v>25</v>
      </c>
      <c r="B31" s="51" t="s">
        <v>28</v>
      </c>
      <c r="C31" s="52"/>
      <c r="D31" s="9">
        <v>20</v>
      </c>
      <c r="E31" s="31">
        <v>218.3</v>
      </c>
      <c r="F31" s="31">
        <f t="shared" si="0"/>
        <v>4366</v>
      </c>
      <c r="G31" s="38">
        <f t="shared" si="1"/>
        <v>269.04000000000002</v>
      </c>
      <c r="H31" s="38">
        <f t="shared" si="2"/>
        <v>5380.8</v>
      </c>
      <c r="I31" s="31">
        <v>231.28</v>
      </c>
      <c r="J31" s="38">
        <f t="shared" si="3"/>
        <v>4625.6000000000004</v>
      </c>
      <c r="L31">
        <v>228</v>
      </c>
    </row>
    <row r="32" spans="1:12" ht="32.1" customHeight="1" x14ac:dyDescent="0.2">
      <c r="A32" s="1">
        <v>26</v>
      </c>
      <c r="B32" s="51" t="s">
        <v>29</v>
      </c>
      <c r="C32" s="52"/>
      <c r="D32" s="9">
        <v>20</v>
      </c>
      <c r="E32" s="31">
        <v>293.82</v>
      </c>
      <c r="F32" s="31">
        <f t="shared" si="0"/>
        <v>5876.4</v>
      </c>
      <c r="G32" s="38">
        <f t="shared" si="1"/>
        <v>341.02</v>
      </c>
      <c r="H32" s="38">
        <f t="shared" si="2"/>
        <v>6820.4</v>
      </c>
      <c r="I32" s="31">
        <v>292.64</v>
      </c>
      <c r="J32" s="38">
        <f t="shared" si="3"/>
        <v>5852.7999999999993</v>
      </c>
      <c r="L32">
        <v>289</v>
      </c>
    </row>
    <row r="33" spans="1:12" ht="32.1" customHeight="1" x14ac:dyDescent="0.2">
      <c r="A33" s="1">
        <v>27</v>
      </c>
      <c r="B33" s="51" t="s">
        <v>30</v>
      </c>
      <c r="C33" s="52"/>
      <c r="D33" s="9">
        <v>150</v>
      </c>
      <c r="E33" s="31">
        <v>103.84</v>
      </c>
      <c r="F33" s="31">
        <f t="shared" si="0"/>
        <v>15576</v>
      </c>
      <c r="G33" s="38">
        <f t="shared" si="1"/>
        <v>129.80000000000001</v>
      </c>
      <c r="H33" s="38">
        <f t="shared" si="2"/>
        <v>19470</v>
      </c>
      <c r="I33" s="31">
        <v>112.1</v>
      </c>
      <c r="J33" s="38">
        <f t="shared" si="3"/>
        <v>16815</v>
      </c>
      <c r="L33">
        <v>110</v>
      </c>
    </row>
    <row r="34" spans="1:12" ht="32.1" customHeight="1" x14ac:dyDescent="0.2">
      <c r="A34" s="1">
        <v>28</v>
      </c>
      <c r="B34" s="51" t="s">
        <v>31</v>
      </c>
      <c r="C34" s="52"/>
      <c r="D34" s="9">
        <v>10</v>
      </c>
      <c r="E34" s="31">
        <v>1090.32</v>
      </c>
      <c r="F34" s="31">
        <f t="shared" si="0"/>
        <v>10903.199999999999</v>
      </c>
      <c r="G34" s="38">
        <f t="shared" si="1"/>
        <v>1256.7</v>
      </c>
      <c r="H34" s="38">
        <f t="shared" si="2"/>
        <v>12567</v>
      </c>
      <c r="I34" s="31">
        <v>1103.3</v>
      </c>
      <c r="J34" s="38">
        <f t="shared" si="3"/>
        <v>11033</v>
      </c>
      <c r="L34">
        <v>1065</v>
      </c>
    </row>
    <row r="35" spans="1:12" ht="32.1" customHeight="1" x14ac:dyDescent="0.2">
      <c r="A35" s="1">
        <v>29</v>
      </c>
      <c r="B35" s="53" t="s">
        <v>32</v>
      </c>
      <c r="C35" s="54"/>
      <c r="D35" s="10">
        <v>6000</v>
      </c>
      <c r="E35" s="31">
        <v>8.26</v>
      </c>
      <c r="F35" s="31">
        <f t="shared" si="0"/>
        <v>49560</v>
      </c>
      <c r="G35" s="38">
        <f t="shared" si="1"/>
        <v>11.8</v>
      </c>
      <c r="H35" s="38">
        <f t="shared" si="2"/>
        <v>70800</v>
      </c>
      <c r="I35" s="31">
        <v>10.38</v>
      </c>
      <c r="J35" s="38">
        <f t="shared" si="3"/>
        <v>62280.000000000007</v>
      </c>
      <c r="L35">
        <v>10</v>
      </c>
    </row>
    <row r="36" spans="1:12" ht="32.1" customHeight="1" x14ac:dyDescent="0.2">
      <c r="A36" s="1">
        <v>30</v>
      </c>
      <c r="B36" s="53" t="s">
        <v>33</v>
      </c>
      <c r="C36" s="54"/>
      <c r="D36" s="10">
        <v>1000</v>
      </c>
      <c r="E36" s="31">
        <v>22.42</v>
      </c>
      <c r="F36" s="31">
        <f t="shared" si="0"/>
        <v>22420</v>
      </c>
      <c r="G36" s="38">
        <f t="shared" si="1"/>
        <v>31.86</v>
      </c>
      <c r="H36" s="38">
        <f t="shared" si="2"/>
        <v>31860</v>
      </c>
      <c r="I36" s="31">
        <v>28.32</v>
      </c>
      <c r="J36" s="38">
        <f t="shared" si="3"/>
        <v>28320</v>
      </c>
      <c r="L36">
        <v>27</v>
      </c>
    </row>
    <row r="37" spans="1:12" ht="32.1" customHeight="1" x14ac:dyDescent="0.2">
      <c r="A37" s="1">
        <v>31</v>
      </c>
      <c r="B37" s="51" t="s">
        <v>34</v>
      </c>
      <c r="C37" s="52"/>
      <c r="D37" s="9">
        <v>250</v>
      </c>
      <c r="E37" s="31">
        <v>365.8</v>
      </c>
      <c r="F37" s="31">
        <f t="shared" si="0"/>
        <v>91450</v>
      </c>
      <c r="G37" s="38">
        <f t="shared" si="1"/>
        <v>437.78</v>
      </c>
      <c r="H37" s="38">
        <f t="shared" si="2"/>
        <v>109445</v>
      </c>
      <c r="I37" s="31">
        <v>377.6</v>
      </c>
      <c r="J37" s="38">
        <f t="shared" si="3"/>
        <v>94400</v>
      </c>
      <c r="L37">
        <v>371</v>
      </c>
    </row>
    <row r="38" spans="1:12" ht="32.1" customHeight="1" x14ac:dyDescent="0.2">
      <c r="A38" s="1">
        <v>32</v>
      </c>
      <c r="B38" s="53" t="s">
        <v>35</v>
      </c>
      <c r="C38" s="54"/>
      <c r="D38" s="9">
        <v>900</v>
      </c>
      <c r="E38" s="31">
        <v>55.46</v>
      </c>
      <c r="F38" s="31">
        <f t="shared" si="0"/>
        <v>49914</v>
      </c>
      <c r="G38" s="38">
        <f t="shared" si="1"/>
        <v>69.62</v>
      </c>
      <c r="H38" s="38">
        <f t="shared" si="2"/>
        <v>62658.000000000007</v>
      </c>
      <c r="I38" s="31">
        <v>61.36</v>
      </c>
      <c r="J38" s="38">
        <f t="shared" si="3"/>
        <v>55224</v>
      </c>
      <c r="L38">
        <v>59</v>
      </c>
    </row>
    <row r="39" spans="1:12" ht="32.1" customHeight="1" x14ac:dyDescent="0.2">
      <c r="A39" s="1">
        <v>33</v>
      </c>
      <c r="B39" s="53" t="s">
        <v>36</v>
      </c>
      <c r="C39" s="54"/>
      <c r="D39" s="9">
        <v>20</v>
      </c>
      <c r="E39" s="31">
        <v>24.78</v>
      </c>
      <c r="F39" s="31">
        <f t="shared" si="0"/>
        <v>495.6</v>
      </c>
      <c r="G39" s="38">
        <f t="shared" si="1"/>
        <v>25.96</v>
      </c>
      <c r="H39" s="38">
        <f t="shared" si="2"/>
        <v>519.20000000000005</v>
      </c>
      <c r="I39" s="31">
        <v>28.32</v>
      </c>
      <c r="J39" s="38">
        <f t="shared" si="3"/>
        <v>566.4</v>
      </c>
      <c r="L39">
        <v>22</v>
      </c>
    </row>
    <row r="40" spans="1:12" ht="32.1" customHeight="1" x14ac:dyDescent="0.2">
      <c r="A40" s="1">
        <v>34</v>
      </c>
      <c r="B40" s="53" t="s">
        <v>37</v>
      </c>
      <c r="C40" s="54"/>
      <c r="D40" s="9">
        <v>20</v>
      </c>
      <c r="E40" s="31">
        <v>23.6</v>
      </c>
      <c r="F40" s="31">
        <f t="shared" si="0"/>
        <v>472</v>
      </c>
      <c r="G40" s="38">
        <f t="shared" si="1"/>
        <v>22.42</v>
      </c>
      <c r="H40" s="38">
        <f t="shared" si="2"/>
        <v>448.40000000000003</v>
      </c>
      <c r="I40" s="31">
        <v>25.96</v>
      </c>
      <c r="J40" s="38">
        <f t="shared" si="3"/>
        <v>519.20000000000005</v>
      </c>
      <c r="L40">
        <v>19</v>
      </c>
    </row>
    <row r="41" spans="1:12" ht="32.1" customHeight="1" x14ac:dyDescent="0.2">
      <c r="A41" s="1">
        <v>35</v>
      </c>
      <c r="B41" s="53" t="s">
        <v>38</v>
      </c>
      <c r="C41" s="54"/>
      <c r="D41" s="9">
        <v>600</v>
      </c>
      <c r="E41" s="31">
        <v>15.34</v>
      </c>
      <c r="F41" s="31">
        <f t="shared" si="0"/>
        <v>9204</v>
      </c>
      <c r="G41" s="38">
        <f t="shared" si="1"/>
        <v>24.78</v>
      </c>
      <c r="H41" s="38">
        <f t="shared" si="2"/>
        <v>14868</v>
      </c>
      <c r="I41" s="31">
        <v>21.24</v>
      </c>
      <c r="J41" s="38">
        <f t="shared" si="3"/>
        <v>12743.999999999998</v>
      </c>
      <c r="L41">
        <v>21</v>
      </c>
    </row>
    <row r="42" spans="1:12" ht="32.1" customHeight="1" x14ac:dyDescent="0.2">
      <c r="A42" s="1">
        <v>36</v>
      </c>
      <c r="B42" s="53" t="s">
        <v>39</v>
      </c>
      <c r="C42" s="54"/>
      <c r="D42" s="9">
        <v>500</v>
      </c>
      <c r="E42" s="31">
        <v>53.1</v>
      </c>
      <c r="F42" s="31">
        <f t="shared" si="0"/>
        <v>26550</v>
      </c>
      <c r="G42" s="38">
        <f t="shared" si="1"/>
        <v>73.16</v>
      </c>
      <c r="H42" s="38">
        <f t="shared" si="2"/>
        <v>36580</v>
      </c>
      <c r="I42" s="31">
        <v>63.72</v>
      </c>
      <c r="J42" s="38">
        <f t="shared" si="3"/>
        <v>31860</v>
      </c>
      <c r="L42">
        <v>62</v>
      </c>
    </row>
    <row r="43" spans="1:12" ht="32.1" customHeight="1" x14ac:dyDescent="0.2">
      <c r="A43" s="1">
        <v>37</v>
      </c>
      <c r="B43" s="51" t="s">
        <v>40</v>
      </c>
      <c r="C43" s="52"/>
      <c r="D43" s="10">
        <v>1000</v>
      </c>
      <c r="E43" s="31">
        <v>143.96</v>
      </c>
      <c r="F43" s="31">
        <f t="shared" si="0"/>
        <v>143960</v>
      </c>
      <c r="G43" s="38">
        <f t="shared" si="1"/>
        <v>177</v>
      </c>
      <c r="H43" s="38">
        <f t="shared" si="2"/>
        <v>177000</v>
      </c>
      <c r="I43" s="31">
        <v>153.4</v>
      </c>
      <c r="J43" s="38">
        <f t="shared" si="3"/>
        <v>153400</v>
      </c>
      <c r="L43">
        <v>150</v>
      </c>
    </row>
    <row r="44" spans="1:12" ht="32.1" customHeight="1" x14ac:dyDescent="0.2">
      <c r="A44" s="1">
        <v>38</v>
      </c>
      <c r="B44" s="53" t="s">
        <v>41</v>
      </c>
      <c r="C44" s="54"/>
      <c r="D44" s="9">
        <v>4</v>
      </c>
      <c r="E44" s="31">
        <v>35.4</v>
      </c>
      <c r="F44" s="31">
        <f t="shared" si="0"/>
        <v>141.6</v>
      </c>
      <c r="G44" s="38">
        <f t="shared" si="1"/>
        <v>42.48</v>
      </c>
      <c r="H44" s="38">
        <f t="shared" si="2"/>
        <v>169.92</v>
      </c>
      <c r="I44" s="31">
        <v>31.86</v>
      </c>
      <c r="J44" s="38">
        <f t="shared" si="3"/>
        <v>127.44</v>
      </c>
      <c r="L44">
        <v>36</v>
      </c>
    </row>
    <row r="45" spans="1:12" ht="32.1" customHeight="1" x14ac:dyDescent="0.2">
      <c r="A45" s="1">
        <v>39</v>
      </c>
      <c r="B45" s="51" t="s">
        <v>42</v>
      </c>
      <c r="C45" s="52"/>
      <c r="D45" s="9">
        <v>500</v>
      </c>
      <c r="E45" s="31">
        <v>70.8</v>
      </c>
      <c r="F45" s="31">
        <f t="shared" si="0"/>
        <v>35400</v>
      </c>
      <c r="G45" s="38">
        <f t="shared" si="1"/>
        <v>87.32</v>
      </c>
      <c r="H45" s="38">
        <f t="shared" si="2"/>
        <v>43660</v>
      </c>
      <c r="I45" s="31">
        <v>76.7</v>
      </c>
      <c r="J45" s="38">
        <f t="shared" si="3"/>
        <v>38350</v>
      </c>
      <c r="L45">
        <v>74</v>
      </c>
    </row>
    <row r="46" spans="1:12" ht="32.1" customHeight="1" x14ac:dyDescent="0.2">
      <c r="A46" s="1">
        <v>40</v>
      </c>
      <c r="B46" s="51" t="s">
        <v>43</v>
      </c>
      <c r="C46" s="52"/>
      <c r="D46" s="9">
        <v>80</v>
      </c>
      <c r="E46" s="31">
        <v>141.6</v>
      </c>
      <c r="F46" s="31">
        <f t="shared" si="0"/>
        <v>11328</v>
      </c>
      <c r="G46" s="38">
        <f t="shared" si="1"/>
        <v>167.56</v>
      </c>
      <c r="H46" s="38">
        <f t="shared" si="2"/>
        <v>13404.8</v>
      </c>
      <c r="I46" s="31">
        <v>147.5</v>
      </c>
      <c r="J46" s="38">
        <f t="shared" si="3"/>
        <v>11800</v>
      </c>
      <c r="L46">
        <v>142</v>
      </c>
    </row>
    <row r="47" spans="1:12" ht="32.1" customHeight="1" x14ac:dyDescent="0.2">
      <c r="A47" s="1">
        <v>41</v>
      </c>
      <c r="B47" s="53" t="s">
        <v>44</v>
      </c>
      <c r="C47" s="54"/>
      <c r="D47" s="9">
        <v>200</v>
      </c>
      <c r="E47" s="31">
        <v>34.22</v>
      </c>
      <c r="F47" s="31">
        <f t="shared" si="0"/>
        <v>6844</v>
      </c>
      <c r="G47" s="38">
        <f t="shared" si="1"/>
        <v>46.019999999999996</v>
      </c>
      <c r="H47" s="38">
        <f t="shared" si="2"/>
        <v>9204</v>
      </c>
      <c r="I47" s="31">
        <v>40.119999999999997</v>
      </c>
      <c r="J47" s="38">
        <f t="shared" si="3"/>
        <v>8023.9999999999991</v>
      </c>
      <c r="L47">
        <v>39</v>
      </c>
    </row>
    <row r="48" spans="1:12" ht="32.1" customHeight="1" x14ac:dyDescent="0.2">
      <c r="A48" s="1">
        <v>42</v>
      </c>
      <c r="B48" s="51" t="s">
        <v>45</v>
      </c>
      <c r="C48" s="52"/>
      <c r="D48" s="9">
        <v>400</v>
      </c>
      <c r="E48" s="31">
        <v>141.6</v>
      </c>
      <c r="F48" s="31">
        <f t="shared" si="0"/>
        <v>56640</v>
      </c>
      <c r="G48" s="38">
        <f t="shared" si="1"/>
        <v>171.1</v>
      </c>
      <c r="H48" s="38">
        <f t="shared" si="2"/>
        <v>68440</v>
      </c>
      <c r="I48" s="31">
        <v>148.68</v>
      </c>
      <c r="J48" s="38">
        <f t="shared" si="3"/>
        <v>59472</v>
      </c>
      <c r="L48">
        <v>145</v>
      </c>
    </row>
    <row r="49" spans="1:12" ht="32.1" customHeight="1" x14ac:dyDescent="0.2">
      <c r="A49" s="1">
        <v>43</v>
      </c>
      <c r="B49" s="51" t="s">
        <v>46</v>
      </c>
      <c r="C49" s="52"/>
      <c r="D49" s="9">
        <v>400</v>
      </c>
      <c r="E49" s="31">
        <v>70.8</v>
      </c>
      <c r="F49" s="31">
        <f t="shared" si="0"/>
        <v>28320</v>
      </c>
      <c r="G49" s="38">
        <f t="shared" si="1"/>
        <v>84.96</v>
      </c>
      <c r="H49" s="38">
        <f t="shared" si="2"/>
        <v>33984</v>
      </c>
      <c r="I49" s="31">
        <v>75.52</v>
      </c>
      <c r="J49" s="38">
        <f t="shared" si="3"/>
        <v>30208</v>
      </c>
      <c r="L49">
        <v>72</v>
      </c>
    </row>
    <row r="50" spans="1:12" ht="32.1" customHeight="1" x14ac:dyDescent="0.2">
      <c r="A50" s="1">
        <v>44</v>
      </c>
      <c r="B50" s="51" t="s">
        <v>47</v>
      </c>
      <c r="C50" s="52"/>
      <c r="D50" s="9">
        <v>300</v>
      </c>
      <c r="E50" s="31">
        <v>88.5</v>
      </c>
      <c r="F50" s="31">
        <f t="shared" si="0"/>
        <v>26550</v>
      </c>
      <c r="G50" s="38">
        <f t="shared" si="1"/>
        <v>108.56</v>
      </c>
      <c r="H50" s="38">
        <f t="shared" si="2"/>
        <v>32568</v>
      </c>
      <c r="I50" s="31">
        <v>94.4</v>
      </c>
      <c r="J50" s="38">
        <f t="shared" si="3"/>
        <v>28320</v>
      </c>
      <c r="L50">
        <v>92</v>
      </c>
    </row>
    <row r="51" spans="1:12" ht="32.1" customHeight="1" x14ac:dyDescent="0.2">
      <c r="A51" s="1">
        <v>45</v>
      </c>
      <c r="B51" s="51" t="s">
        <v>48</v>
      </c>
      <c r="C51" s="52"/>
      <c r="D51" s="9">
        <v>100</v>
      </c>
      <c r="E51" s="31">
        <v>105.02</v>
      </c>
      <c r="F51" s="31">
        <f t="shared" si="0"/>
        <v>10502</v>
      </c>
      <c r="G51" s="38">
        <f t="shared" si="1"/>
        <v>128.62</v>
      </c>
      <c r="H51" s="38">
        <f t="shared" si="2"/>
        <v>12862</v>
      </c>
      <c r="I51" s="31">
        <v>112.1</v>
      </c>
      <c r="J51" s="38">
        <f t="shared" si="3"/>
        <v>11210</v>
      </c>
      <c r="L51">
        <v>109</v>
      </c>
    </row>
    <row r="52" spans="1:12" ht="32.1" customHeight="1" x14ac:dyDescent="0.2">
      <c r="A52" s="1">
        <v>46</v>
      </c>
      <c r="B52" s="53" t="s">
        <v>49</v>
      </c>
      <c r="C52" s="54"/>
      <c r="D52" s="9">
        <v>50</v>
      </c>
      <c r="E52" s="31">
        <v>75.52</v>
      </c>
      <c r="F52" s="31">
        <f t="shared" si="0"/>
        <v>3776</v>
      </c>
      <c r="G52" s="38">
        <f t="shared" si="1"/>
        <v>96.76</v>
      </c>
      <c r="H52" s="38">
        <f t="shared" si="2"/>
        <v>4838</v>
      </c>
      <c r="I52" s="31">
        <v>69.62</v>
      </c>
      <c r="J52" s="38">
        <f t="shared" si="3"/>
        <v>3481</v>
      </c>
      <c r="L52">
        <v>82</v>
      </c>
    </row>
    <row r="53" spans="1:12" ht="32.1" customHeight="1" x14ac:dyDescent="0.2">
      <c r="A53" s="1">
        <v>47</v>
      </c>
      <c r="B53" s="51" t="s">
        <v>50</v>
      </c>
      <c r="C53" s="52"/>
      <c r="D53" s="9">
        <v>50</v>
      </c>
      <c r="E53" s="31">
        <v>62.54</v>
      </c>
      <c r="F53" s="31">
        <f t="shared" si="0"/>
        <v>3127</v>
      </c>
      <c r="G53" s="38">
        <f t="shared" si="1"/>
        <v>79.06</v>
      </c>
      <c r="H53" s="38">
        <f t="shared" si="2"/>
        <v>3953</v>
      </c>
      <c r="I53" s="31">
        <v>61.36</v>
      </c>
      <c r="J53" s="38">
        <f t="shared" si="3"/>
        <v>3068</v>
      </c>
      <c r="L53">
        <v>67</v>
      </c>
    </row>
    <row r="54" spans="1:12" ht="32.1" customHeight="1" x14ac:dyDescent="0.2">
      <c r="A54" s="1">
        <v>48</v>
      </c>
      <c r="B54" s="51" t="s">
        <v>51</v>
      </c>
      <c r="C54" s="52"/>
      <c r="D54" s="9">
        <v>300</v>
      </c>
      <c r="E54" s="31">
        <v>212.4</v>
      </c>
      <c r="F54" s="31">
        <f t="shared" si="0"/>
        <v>63720</v>
      </c>
      <c r="G54" s="38">
        <f t="shared" si="1"/>
        <v>250.16</v>
      </c>
      <c r="H54" s="38">
        <f t="shared" si="2"/>
        <v>75048</v>
      </c>
      <c r="I54" s="31">
        <v>220.66</v>
      </c>
      <c r="J54" s="38">
        <f t="shared" si="3"/>
        <v>66198</v>
      </c>
      <c r="L54">
        <v>212</v>
      </c>
    </row>
    <row r="55" spans="1:12" ht="32.1" customHeight="1" x14ac:dyDescent="0.2">
      <c r="A55" s="1">
        <v>49</v>
      </c>
      <c r="B55" s="53" t="s">
        <v>52</v>
      </c>
      <c r="C55" s="54"/>
      <c r="D55" s="9">
        <v>250</v>
      </c>
      <c r="E55" s="31">
        <v>112.1</v>
      </c>
      <c r="F55" s="31">
        <f t="shared" si="0"/>
        <v>28025</v>
      </c>
      <c r="G55" s="38">
        <f t="shared" si="1"/>
        <v>140.41999999999999</v>
      </c>
      <c r="H55" s="38">
        <f t="shared" si="2"/>
        <v>35105</v>
      </c>
      <c r="I55" s="31">
        <v>122.72</v>
      </c>
      <c r="J55" s="38">
        <f t="shared" si="3"/>
        <v>30680</v>
      </c>
      <c r="L55">
        <v>119</v>
      </c>
    </row>
    <row r="56" spans="1:12" ht="32.1" customHeight="1" x14ac:dyDescent="0.2">
      <c r="A56" s="1">
        <v>50</v>
      </c>
      <c r="B56" s="53" t="s">
        <v>53</v>
      </c>
      <c r="C56" s="54"/>
      <c r="D56" s="10">
        <v>1200</v>
      </c>
      <c r="E56" s="31">
        <v>205.32</v>
      </c>
      <c r="F56" s="31">
        <f t="shared" si="0"/>
        <v>246384</v>
      </c>
      <c r="G56" s="38">
        <f t="shared" si="1"/>
        <v>245.44</v>
      </c>
      <c r="H56" s="38">
        <f t="shared" si="2"/>
        <v>294528</v>
      </c>
      <c r="I56" s="31">
        <v>214.76</v>
      </c>
      <c r="J56" s="38">
        <f t="shared" si="3"/>
        <v>257712</v>
      </c>
      <c r="L56">
        <v>208</v>
      </c>
    </row>
    <row r="57" spans="1:12" ht="32.1" customHeight="1" x14ac:dyDescent="0.2">
      <c r="A57" s="1">
        <v>51</v>
      </c>
      <c r="B57" s="51" t="s">
        <v>54</v>
      </c>
      <c r="C57" s="52"/>
      <c r="D57" s="9">
        <v>200</v>
      </c>
      <c r="E57" s="31">
        <v>212.4</v>
      </c>
      <c r="F57" s="31">
        <f t="shared" si="0"/>
        <v>42480</v>
      </c>
      <c r="G57" s="38">
        <f t="shared" si="1"/>
        <v>261.95999999999998</v>
      </c>
      <c r="H57" s="38">
        <f t="shared" si="2"/>
        <v>52391.999999999993</v>
      </c>
      <c r="I57" s="31">
        <v>227.74</v>
      </c>
      <c r="J57" s="38">
        <f t="shared" si="3"/>
        <v>45548</v>
      </c>
      <c r="L57">
        <v>222</v>
      </c>
    </row>
    <row r="58" spans="1:12" ht="32.1" customHeight="1" x14ac:dyDescent="0.2">
      <c r="A58" s="1">
        <v>52</v>
      </c>
      <c r="B58" s="53" t="s">
        <v>55</v>
      </c>
      <c r="C58" s="54"/>
      <c r="D58" s="9">
        <v>500</v>
      </c>
      <c r="E58" s="31">
        <v>247.8</v>
      </c>
      <c r="F58" s="31">
        <f t="shared" si="0"/>
        <v>123900</v>
      </c>
      <c r="G58" s="38">
        <f t="shared" si="1"/>
        <v>291.45999999999998</v>
      </c>
      <c r="H58" s="38">
        <f t="shared" si="2"/>
        <v>145730</v>
      </c>
      <c r="I58" s="31">
        <v>253.7</v>
      </c>
      <c r="J58" s="38">
        <f t="shared" si="3"/>
        <v>126850</v>
      </c>
      <c r="L58">
        <v>247</v>
      </c>
    </row>
    <row r="59" spans="1:12" ht="32.1" customHeight="1" x14ac:dyDescent="0.2">
      <c r="A59" s="1">
        <v>53</v>
      </c>
      <c r="B59" s="53" t="s">
        <v>56</v>
      </c>
      <c r="C59" s="54"/>
      <c r="D59" s="9">
        <v>100</v>
      </c>
      <c r="E59" s="31">
        <v>3396.04</v>
      </c>
      <c r="F59" s="31">
        <f t="shared" si="0"/>
        <v>339604</v>
      </c>
      <c r="G59" s="38">
        <f t="shared" si="1"/>
        <v>3988.4</v>
      </c>
      <c r="H59" s="38">
        <f t="shared" si="2"/>
        <v>398840</v>
      </c>
      <c r="I59" s="31">
        <v>3469.2</v>
      </c>
      <c r="J59" s="38">
        <f t="shared" si="3"/>
        <v>346920</v>
      </c>
      <c r="L59">
        <v>3380</v>
      </c>
    </row>
    <row r="60" spans="1:12" ht="32.1" customHeight="1" x14ac:dyDescent="0.2">
      <c r="A60" s="1">
        <v>54</v>
      </c>
      <c r="B60" s="53" t="s">
        <v>57</v>
      </c>
      <c r="C60" s="54"/>
      <c r="D60" s="9">
        <v>200</v>
      </c>
      <c r="E60" s="31">
        <v>1255.52</v>
      </c>
      <c r="F60" s="31">
        <f t="shared" si="0"/>
        <v>251104</v>
      </c>
      <c r="G60" s="38">
        <f t="shared" si="1"/>
        <v>1390.04</v>
      </c>
      <c r="H60" s="38">
        <f t="shared" si="2"/>
        <v>278008</v>
      </c>
      <c r="I60" s="31">
        <v>1283.8399999999999</v>
      </c>
      <c r="J60" s="38">
        <f t="shared" si="3"/>
        <v>256767.99999999997</v>
      </c>
      <c r="L60">
        <v>1178</v>
      </c>
    </row>
    <row r="61" spans="1:12" ht="32.1" customHeight="1" x14ac:dyDescent="0.2">
      <c r="A61" s="1">
        <v>55</v>
      </c>
      <c r="B61" s="53" t="s">
        <v>58</v>
      </c>
      <c r="C61" s="54"/>
      <c r="D61" s="9">
        <v>300</v>
      </c>
      <c r="E61" s="31">
        <v>1342.84</v>
      </c>
      <c r="F61" s="31">
        <f t="shared" si="0"/>
        <v>402852</v>
      </c>
      <c r="G61" s="38">
        <f t="shared" si="1"/>
        <v>1521.02</v>
      </c>
      <c r="H61" s="38">
        <f t="shared" si="2"/>
        <v>456306</v>
      </c>
      <c r="I61" s="31">
        <v>1365.26</v>
      </c>
      <c r="J61" s="38">
        <f t="shared" si="3"/>
        <v>409578</v>
      </c>
      <c r="L61">
        <v>1289</v>
      </c>
    </row>
    <row r="62" spans="1:12" ht="32.1" customHeight="1" x14ac:dyDescent="0.2">
      <c r="A62" s="1">
        <v>56</v>
      </c>
      <c r="B62" s="53" t="s">
        <v>59</v>
      </c>
      <c r="C62" s="54"/>
      <c r="D62" s="9">
        <v>50</v>
      </c>
      <c r="E62" s="31">
        <v>3536.46</v>
      </c>
      <c r="F62" s="31">
        <f t="shared" si="0"/>
        <v>176823</v>
      </c>
      <c r="G62" s="38">
        <f t="shared" si="1"/>
        <v>4820.3</v>
      </c>
      <c r="H62" s="38">
        <f t="shared" si="2"/>
        <v>241015</v>
      </c>
      <c r="I62" s="31">
        <v>4094.6</v>
      </c>
      <c r="J62" s="38">
        <f t="shared" si="3"/>
        <v>204730</v>
      </c>
      <c r="L62">
        <v>4085</v>
      </c>
    </row>
    <row r="63" spans="1:12" ht="32.1" customHeight="1" x14ac:dyDescent="0.2">
      <c r="A63" s="1">
        <v>57</v>
      </c>
      <c r="B63" s="51" t="s">
        <v>60</v>
      </c>
      <c r="C63" s="52"/>
      <c r="D63" s="9">
        <v>100</v>
      </c>
      <c r="E63" s="31">
        <v>1255.52</v>
      </c>
      <c r="F63" s="31">
        <f t="shared" si="0"/>
        <v>125552</v>
      </c>
      <c r="G63" s="38">
        <f t="shared" si="1"/>
        <v>1505.68</v>
      </c>
      <c r="H63" s="38">
        <f t="shared" si="2"/>
        <v>150568</v>
      </c>
      <c r="I63" s="31">
        <v>1281.48</v>
      </c>
      <c r="J63" s="38">
        <f t="shared" si="3"/>
        <v>128148</v>
      </c>
      <c r="L63">
        <v>1276</v>
      </c>
    </row>
    <row r="64" spans="1:12" ht="32.1" customHeight="1" x14ac:dyDescent="0.2">
      <c r="A64" s="1">
        <v>58</v>
      </c>
      <c r="B64" s="51" t="s">
        <v>61</v>
      </c>
      <c r="C64" s="52"/>
      <c r="D64" s="10">
        <v>1700</v>
      </c>
      <c r="E64" s="31">
        <v>234.82</v>
      </c>
      <c r="F64" s="31">
        <f t="shared" si="0"/>
        <v>399194</v>
      </c>
      <c r="G64" s="38">
        <f t="shared" si="1"/>
        <v>289.10000000000002</v>
      </c>
      <c r="H64" s="38">
        <f t="shared" si="2"/>
        <v>491470.00000000006</v>
      </c>
      <c r="I64" s="31">
        <v>250.16</v>
      </c>
      <c r="J64" s="38">
        <f t="shared" si="3"/>
        <v>425272</v>
      </c>
      <c r="L64">
        <v>245</v>
      </c>
    </row>
    <row r="65" spans="1:12" ht="32.1" customHeight="1" x14ac:dyDescent="0.2">
      <c r="A65" s="1">
        <v>59</v>
      </c>
      <c r="B65" s="53" t="s">
        <v>62</v>
      </c>
      <c r="C65" s="54"/>
      <c r="D65" s="9">
        <v>150</v>
      </c>
      <c r="E65" s="31">
        <v>200.6</v>
      </c>
      <c r="F65" s="31">
        <f t="shared" si="0"/>
        <v>30090</v>
      </c>
      <c r="G65" s="38">
        <f t="shared" si="1"/>
        <v>253.7</v>
      </c>
      <c r="H65" s="38">
        <f t="shared" si="2"/>
        <v>38055</v>
      </c>
      <c r="I65" s="31">
        <v>217.12</v>
      </c>
      <c r="J65" s="38">
        <f t="shared" si="3"/>
        <v>32568</v>
      </c>
      <c r="L65">
        <v>215</v>
      </c>
    </row>
    <row r="66" spans="1:12" ht="32.1" customHeight="1" x14ac:dyDescent="0.2">
      <c r="A66" s="1">
        <v>60</v>
      </c>
      <c r="B66" s="53" t="s">
        <v>63</v>
      </c>
      <c r="C66" s="54"/>
      <c r="D66" s="10">
        <v>1200</v>
      </c>
      <c r="E66" s="31">
        <v>50.74</v>
      </c>
      <c r="F66" s="31">
        <f t="shared" si="0"/>
        <v>60888</v>
      </c>
      <c r="G66" s="38">
        <f t="shared" si="1"/>
        <v>63.72</v>
      </c>
      <c r="H66" s="38">
        <f t="shared" si="2"/>
        <v>76464</v>
      </c>
      <c r="I66" s="31">
        <v>56.64</v>
      </c>
      <c r="J66" s="38">
        <f t="shared" si="3"/>
        <v>67968</v>
      </c>
      <c r="L66">
        <v>54</v>
      </c>
    </row>
    <row r="67" spans="1:12" ht="32.1" customHeight="1" x14ac:dyDescent="0.2">
      <c r="A67" s="1">
        <v>61</v>
      </c>
      <c r="B67" s="53" t="s">
        <v>64</v>
      </c>
      <c r="C67" s="54"/>
      <c r="D67" s="9">
        <v>10</v>
      </c>
      <c r="E67" s="31">
        <v>11.68</v>
      </c>
      <c r="F67" s="31">
        <f t="shared" si="0"/>
        <v>116.8</v>
      </c>
      <c r="G67" s="38">
        <f t="shared" si="1"/>
        <v>13.57</v>
      </c>
      <c r="H67" s="38">
        <f t="shared" si="2"/>
        <v>135.69999999999999</v>
      </c>
      <c r="I67" s="31">
        <v>14.16</v>
      </c>
      <c r="J67" s="38">
        <f t="shared" si="3"/>
        <v>141.6</v>
      </c>
      <c r="L67">
        <v>11.5</v>
      </c>
    </row>
    <row r="68" spans="1:12" ht="32.1" customHeight="1" x14ac:dyDescent="0.2">
      <c r="A68" s="1">
        <v>62</v>
      </c>
      <c r="B68" s="53" t="s">
        <v>65</v>
      </c>
      <c r="C68" s="54"/>
      <c r="D68" s="9">
        <v>5</v>
      </c>
      <c r="E68" s="31">
        <v>695.02</v>
      </c>
      <c r="F68" s="31">
        <f t="shared" si="0"/>
        <v>3475.1</v>
      </c>
      <c r="G68" s="38">
        <f t="shared" si="1"/>
        <v>800.04</v>
      </c>
      <c r="H68" s="38">
        <f t="shared" si="2"/>
        <v>4000.2</v>
      </c>
      <c r="I68" s="31">
        <v>702.1</v>
      </c>
      <c r="J68" s="38">
        <f t="shared" si="3"/>
        <v>3510.5</v>
      </c>
      <c r="L68">
        <v>678</v>
      </c>
    </row>
    <row r="69" spans="1:12" ht="32.1" customHeight="1" x14ac:dyDescent="0.2">
      <c r="A69" s="1">
        <v>63</v>
      </c>
      <c r="B69" s="51" t="s">
        <v>66</v>
      </c>
      <c r="C69" s="52"/>
      <c r="D69" s="9">
        <v>5</v>
      </c>
      <c r="E69" s="31">
        <v>529.82000000000005</v>
      </c>
      <c r="F69" s="31">
        <f t="shared" si="0"/>
        <v>2649.1000000000004</v>
      </c>
      <c r="G69" s="38">
        <f t="shared" si="1"/>
        <v>631.29999999999995</v>
      </c>
      <c r="H69" s="38">
        <f t="shared" si="2"/>
        <v>3156.5</v>
      </c>
      <c r="I69" s="31">
        <v>546.34</v>
      </c>
      <c r="J69" s="38">
        <f t="shared" si="3"/>
        <v>2731.7000000000003</v>
      </c>
      <c r="L69">
        <v>535</v>
      </c>
    </row>
    <row r="70" spans="1:12" ht="32.1" customHeight="1" x14ac:dyDescent="0.2">
      <c r="A70" s="1">
        <v>64</v>
      </c>
      <c r="B70" s="53" t="s">
        <v>67</v>
      </c>
      <c r="C70" s="54"/>
      <c r="D70" s="9">
        <v>60</v>
      </c>
      <c r="E70" s="31">
        <v>70.8</v>
      </c>
      <c r="F70" s="31">
        <f t="shared" si="0"/>
        <v>4248</v>
      </c>
      <c r="G70" s="38">
        <f t="shared" si="1"/>
        <v>86.14</v>
      </c>
      <c r="H70" s="38">
        <f t="shared" si="2"/>
        <v>5168.3999999999996</v>
      </c>
      <c r="I70" s="31">
        <v>75.52</v>
      </c>
      <c r="J70" s="38">
        <f t="shared" si="3"/>
        <v>4531.2</v>
      </c>
      <c r="L70">
        <v>73</v>
      </c>
    </row>
    <row r="71" spans="1:12" ht="32.1" customHeight="1" x14ac:dyDescent="0.2">
      <c r="A71" s="1">
        <v>65</v>
      </c>
      <c r="B71" s="51" t="s">
        <v>68</v>
      </c>
      <c r="C71" s="52"/>
      <c r="D71" s="9">
        <v>20</v>
      </c>
      <c r="E71" s="31">
        <v>920.4</v>
      </c>
      <c r="F71" s="31">
        <f t="shared" si="0"/>
        <v>18408</v>
      </c>
      <c r="G71" s="38">
        <f t="shared" si="1"/>
        <v>1024.24</v>
      </c>
      <c r="H71" s="38">
        <f t="shared" si="2"/>
        <v>20484.8</v>
      </c>
      <c r="I71" s="31">
        <v>926.3</v>
      </c>
      <c r="J71" s="38">
        <f t="shared" si="3"/>
        <v>18526</v>
      </c>
      <c r="L71">
        <v>868</v>
      </c>
    </row>
    <row r="72" spans="1:12" ht="32.1" customHeight="1" x14ac:dyDescent="0.2">
      <c r="A72" s="1">
        <v>66</v>
      </c>
      <c r="B72" s="53" t="s">
        <v>69</v>
      </c>
      <c r="C72" s="54"/>
      <c r="D72" s="9">
        <v>50</v>
      </c>
      <c r="E72" s="31">
        <v>306.8</v>
      </c>
      <c r="F72" s="31">
        <f t="shared" ref="F72:F123" si="4">E72*D72</f>
        <v>15340</v>
      </c>
      <c r="G72" s="38">
        <f t="shared" ref="G72:G123" si="5">L72*0.18+L72</f>
        <v>363.44</v>
      </c>
      <c r="H72" s="38">
        <f t="shared" ref="H72:H123" si="6">G72*D72</f>
        <v>18172</v>
      </c>
      <c r="I72" s="31">
        <v>322.14</v>
      </c>
      <c r="J72" s="38">
        <f t="shared" ref="J72:J123" si="7">I72*D72</f>
        <v>16107</v>
      </c>
      <c r="L72">
        <v>308</v>
      </c>
    </row>
    <row r="73" spans="1:12" ht="32.1" customHeight="1" x14ac:dyDescent="0.2">
      <c r="A73" s="1">
        <v>67</v>
      </c>
      <c r="B73" s="51" t="s">
        <v>70</v>
      </c>
      <c r="C73" s="52"/>
      <c r="D73" s="9">
        <v>25</v>
      </c>
      <c r="E73" s="31">
        <v>578.20000000000005</v>
      </c>
      <c r="F73" s="31">
        <f t="shared" si="4"/>
        <v>14455.000000000002</v>
      </c>
      <c r="G73" s="38">
        <f t="shared" si="5"/>
        <v>692.66</v>
      </c>
      <c r="H73" s="38">
        <f t="shared" si="6"/>
        <v>17316.5</v>
      </c>
      <c r="I73" s="31">
        <v>593.54</v>
      </c>
      <c r="J73" s="38">
        <f t="shared" si="7"/>
        <v>14838.5</v>
      </c>
      <c r="L73">
        <v>587</v>
      </c>
    </row>
    <row r="74" spans="1:12" ht="32.1" customHeight="1" x14ac:dyDescent="0.2">
      <c r="A74" s="2">
        <v>68</v>
      </c>
      <c r="B74" s="51" t="s">
        <v>71</v>
      </c>
      <c r="C74" s="52"/>
      <c r="D74" s="9">
        <v>125</v>
      </c>
      <c r="E74" s="31">
        <v>42.48</v>
      </c>
      <c r="F74" s="31">
        <f t="shared" si="4"/>
        <v>5310</v>
      </c>
      <c r="G74" s="38">
        <f t="shared" si="5"/>
        <v>53.1</v>
      </c>
      <c r="H74" s="38">
        <f t="shared" si="6"/>
        <v>6637.5</v>
      </c>
      <c r="I74" s="31">
        <v>46.02</v>
      </c>
      <c r="J74" s="38">
        <f t="shared" si="7"/>
        <v>5752.5</v>
      </c>
      <c r="L74">
        <v>45</v>
      </c>
    </row>
    <row r="75" spans="1:12" ht="32.1" customHeight="1" x14ac:dyDescent="0.2">
      <c r="A75" s="2">
        <v>69</v>
      </c>
      <c r="B75" s="51" t="s">
        <v>72</v>
      </c>
      <c r="C75" s="52"/>
      <c r="D75" s="9">
        <v>25</v>
      </c>
      <c r="E75" s="31">
        <v>47.2</v>
      </c>
      <c r="F75" s="31">
        <f t="shared" si="4"/>
        <v>1180</v>
      </c>
      <c r="G75" s="38">
        <f t="shared" si="5"/>
        <v>61.36</v>
      </c>
      <c r="H75" s="38">
        <f t="shared" si="6"/>
        <v>1534</v>
      </c>
      <c r="I75" s="31">
        <v>51.92</v>
      </c>
      <c r="J75" s="38">
        <f t="shared" si="7"/>
        <v>1298</v>
      </c>
      <c r="L75">
        <v>52</v>
      </c>
    </row>
    <row r="76" spans="1:12" ht="32.1" customHeight="1" x14ac:dyDescent="0.2">
      <c r="A76" s="2">
        <v>70</v>
      </c>
      <c r="B76" s="51" t="s">
        <v>73</v>
      </c>
      <c r="C76" s="52"/>
      <c r="D76" s="9">
        <v>25</v>
      </c>
      <c r="E76" s="31">
        <v>47.2</v>
      </c>
      <c r="F76" s="31">
        <f t="shared" si="4"/>
        <v>1180</v>
      </c>
      <c r="G76" s="38">
        <f t="shared" si="5"/>
        <v>64.900000000000006</v>
      </c>
      <c r="H76" s="38">
        <f t="shared" si="6"/>
        <v>1622.5000000000002</v>
      </c>
      <c r="I76" s="31">
        <v>54.28</v>
      </c>
      <c r="J76" s="38">
        <f t="shared" si="7"/>
        <v>1357</v>
      </c>
      <c r="L76">
        <v>55</v>
      </c>
    </row>
    <row r="77" spans="1:12" ht="32.1" customHeight="1" x14ac:dyDescent="0.2">
      <c r="A77" s="2">
        <v>71</v>
      </c>
      <c r="B77" s="53" t="s">
        <v>74</v>
      </c>
      <c r="C77" s="54"/>
      <c r="D77" s="9">
        <v>5</v>
      </c>
      <c r="E77" s="31">
        <v>1090.32</v>
      </c>
      <c r="F77" s="31">
        <f t="shared" si="4"/>
        <v>5451.5999999999995</v>
      </c>
      <c r="G77" s="38">
        <f t="shared" si="5"/>
        <v>1296.82</v>
      </c>
      <c r="H77" s="38">
        <f t="shared" si="6"/>
        <v>6484.0999999999995</v>
      </c>
      <c r="I77" s="31">
        <v>1105.6600000000001</v>
      </c>
      <c r="J77" s="38">
        <f t="shared" si="7"/>
        <v>5528.3</v>
      </c>
      <c r="L77">
        <v>1099</v>
      </c>
    </row>
    <row r="78" spans="1:12" ht="32.1" customHeight="1" x14ac:dyDescent="0.2">
      <c r="A78" s="2">
        <v>72</v>
      </c>
      <c r="B78" s="51" t="s">
        <v>75</v>
      </c>
      <c r="C78" s="52"/>
      <c r="D78" s="9">
        <v>5</v>
      </c>
      <c r="E78" s="31">
        <v>684.4</v>
      </c>
      <c r="F78" s="31">
        <f t="shared" si="4"/>
        <v>3422</v>
      </c>
      <c r="G78" s="38">
        <f t="shared" si="5"/>
        <v>811.84</v>
      </c>
      <c r="H78" s="38">
        <f t="shared" si="6"/>
        <v>4059.2000000000003</v>
      </c>
      <c r="I78" s="31">
        <v>670.24</v>
      </c>
      <c r="J78" s="38">
        <f t="shared" si="7"/>
        <v>3351.2</v>
      </c>
      <c r="L78">
        <v>688</v>
      </c>
    </row>
    <row r="79" spans="1:12" ht="32.1" customHeight="1" x14ac:dyDescent="0.2">
      <c r="A79" s="2">
        <v>73</v>
      </c>
      <c r="B79" s="53" t="s">
        <v>76</v>
      </c>
      <c r="C79" s="54"/>
      <c r="D79" s="9">
        <v>10</v>
      </c>
      <c r="E79" s="31">
        <v>126.26</v>
      </c>
      <c r="F79" s="31">
        <f t="shared" si="4"/>
        <v>1262.6000000000001</v>
      </c>
      <c r="G79" s="38">
        <f t="shared" si="5"/>
        <v>158.12</v>
      </c>
      <c r="H79" s="38">
        <f t="shared" si="6"/>
        <v>1581.2</v>
      </c>
      <c r="I79" s="31">
        <v>136.88</v>
      </c>
      <c r="J79" s="38">
        <f t="shared" si="7"/>
        <v>1368.8</v>
      </c>
      <c r="L79">
        <v>134</v>
      </c>
    </row>
    <row r="80" spans="1:12" ht="32.1" customHeight="1" x14ac:dyDescent="0.2">
      <c r="A80" s="2">
        <v>74</v>
      </c>
      <c r="B80" s="51" t="s">
        <v>77</v>
      </c>
      <c r="C80" s="52"/>
      <c r="D80" s="9">
        <v>500</v>
      </c>
      <c r="E80" s="31">
        <v>48.38</v>
      </c>
      <c r="F80" s="31">
        <f t="shared" si="4"/>
        <v>24190</v>
      </c>
      <c r="G80" s="38">
        <f t="shared" si="5"/>
        <v>61.36</v>
      </c>
      <c r="H80" s="38">
        <f t="shared" si="6"/>
        <v>30680</v>
      </c>
      <c r="I80" s="31">
        <v>51.92</v>
      </c>
      <c r="J80" s="38">
        <f t="shared" si="7"/>
        <v>25960</v>
      </c>
      <c r="L80">
        <v>52</v>
      </c>
    </row>
    <row r="81" spans="1:12" ht="32.1" customHeight="1" x14ac:dyDescent="0.2">
      <c r="A81" s="2">
        <v>75</v>
      </c>
      <c r="B81" s="53" t="s">
        <v>78</v>
      </c>
      <c r="C81" s="54"/>
      <c r="D81" s="9">
        <v>100</v>
      </c>
      <c r="E81" s="31">
        <v>48.38</v>
      </c>
      <c r="F81" s="31">
        <f t="shared" si="4"/>
        <v>4838</v>
      </c>
      <c r="G81" s="38">
        <f t="shared" si="5"/>
        <v>63.72</v>
      </c>
      <c r="H81" s="38">
        <f t="shared" si="6"/>
        <v>6372</v>
      </c>
      <c r="I81" s="31">
        <v>53.1</v>
      </c>
      <c r="J81" s="38">
        <f t="shared" si="7"/>
        <v>5310</v>
      </c>
      <c r="L81">
        <v>54</v>
      </c>
    </row>
    <row r="82" spans="1:12" ht="32.1" customHeight="1" x14ac:dyDescent="0.2">
      <c r="A82" s="2">
        <v>76</v>
      </c>
      <c r="B82" s="53" t="s">
        <v>79</v>
      </c>
      <c r="C82" s="54"/>
      <c r="D82" s="9">
        <v>200</v>
      </c>
      <c r="E82" s="31">
        <v>42.48</v>
      </c>
      <c r="F82" s="31">
        <f t="shared" si="4"/>
        <v>8496</v>
      </c>
      <c r="G82" s="38">
        <f t="shared" si="5"/>
        <v>53.1</v>
      </c>
      <c r="H82" s="38">
        <f t="shared" si="6"/>
        <v>10620</v>
      </c>
      <c r="I82" s="31">
        <v>46.02</v>
      </c>
      <c r="J82" s="38">
        <f t="shared" si="7"/>
        <v>9204</v>
      </c>
      <c r="L82">
        <v>45</v>
      </c>
    </row>
    <row r="83" spans="1:12" ht="32.1" customHeight="1" x14ac:dyDescent="0.2">
      <c r="A83" s="2">
        <v>77</v>
      </c>
      <c r="B83" s="51" t="s">
        <v>80</v>
      </c>
      <c r="C83" s="52"/>
      <c r="D83" s="10">
        <v>5000</v>
      </c>
      <c r="E83" s="31">
        <v>49.56</v>
      </c>
      <c r="F83" s="31">
        <f t="shared" si="4"/>
        <v>247800</v>
      </c>
      <c r="G83" s="38">
        <f t="shared" si="5"/>
        <v>66.08</v>
      </c>
      <c r="H83" s="38">
        <f t="shared" si="6"/>
        <v>330400</v>
      </c>
      <c r="I83" s="31">
        <v>55.46</v>
      </c>
      <c r="J83" s="38">
        <f t="shared" si="7"/>
        <v>277300</v>
      </c>
      <c r="L83">
        <v>56</v>
      </c>
    </row>
    <row r="84" spans="1:12" ht="32.1" customHeight="1" x14ac:dyDescent="0.2">
      <c r="A84" s="2">
        <v>78</v>
      </c>
      <c r="B84" s="51" t="s">
        <v>81</v>
      </c>
      <c r="C84" s="52"/>
      <c r="D84" s="9">
        <v>300</v>
      </c>
      <c r="E84" s="31">
        <v>171.1</v>
      </c>
      <c r="F84" s="31">
        <f t="shared" si="4"/>
        <v>51330</v>
      </c>
      <c r="G84" s="38">
        <f t="shared" si="5"/>
        <v>204.14</v>
      </c>
      <c r="H84" s="38">
        <f t="shared" si="6"/>
        <v>61241.999999999993</v>
      </c>
      <c r="I84" s="31">
        <v>179.36</v>
      </c>
      <c r="J84" s="38">
        <f t="shared" si="7"/>
        <v>53808.000000000007</v>
      </c>
      <c r="L84">
        <v>173</v>
      </c>
    </row>
    <row r="85" spans="1:12" ht="32.1" customHeight="1" x14ac:dyDescent="0.2">
      <c r="A85" s="2">
        <v>79</v>
      </c>
      <c r="B85" s="53" t="s">
        <v>82</v>
      </c>
      <c r="C85" s="54"/>
      <c r="D85" s="9">
        <v>100</v>
      </c>
      <c r="E85" s="31">
        <v>282.02</v>
      </c>
      <c r="F85" s="31">
        <f t="shared" si="4"/>
        <v>28202</v>
      </c>
      <c r="G85" s="38">
        <f t="shared" si="5"/>
        <v>328.04</v>
      </c>
      <c r="H85" s="38">
        <f t="shared" si="6"/>
        <v>32804</v>
      </c>
      <c r="I85" s="31">
        <v>291.45999999999998</v>
      </c>
      <c r="J85" s="38">
        <f t="shared" si="7"/>
        <v>29145.999999999996</v>
      </c>
      <c r="L85">
        <v>278</v>
      </c>
    </row>
    <row r="86" spans="1:12" ht="32.1" customHeight="1" x14ac:dyDescent="0.2">
      <c r="A86" s="2">
        <v>80</v>
      </c>
      <c r="B86" s="53" t="s">
        <v>83</v>
      </c>
      <c r="C86" s="54"/>
      <c r="D86" s="9">
        <v>100</v>
      </c>
      <c r="E86" s="31">
        <v>326.86</v>
      </c>
      <c r="F86" s="31">
        <f t="shared" si="4"/>
        <v>32686</v>
      </c>
      <c r="G86" s="38">
        <f t="shared" si="5"/>
        <v>387.04</v>
      </c>
      <c r="H86" s="38">
        <f t="shared" si="6"/>
        <v>38704</v>
      </c>
      <c r="I86" s="31">
        <v>337.48</v>
      </c>
      <c r="J86" s="38">
        <f t="shared" si="7"/>
        <v>33748</v>
      </c>
      <c r="L86">
        <v>328</v>
      </c>
    </row>
    <row r="87" spans="1:12" ht="32.1" customHeight="1" x14ac:dyDescent="0.2">
      <c r="A87" s="1">
        <v>81</v>
      </c>
      <c r="B87" s="51" t="s">
        <v>84</v>
      </c>
      <c r="C87" s="52"/>
      <c r="D87" s="9">
        <v>200</v>
      </c>
      <c r="E87" s="31">
        <v>80.239999999999995</v>
      </c>
      <c r="F87" s="31">
        <f t="shared" si="4"/>
        <v>16047.999999999998</v>
      </c>
      <c r="G87" s="38">
        <f t="shared" si="5"/>
        <v>101.48</v>
      </c>
      <c r="H87" s="38">
        <f t="shared" si="6"/>
        <v>20296</v>
      </c>
      <c r="I87" s="31">
        <v>86.14</v>
      </c>
      <c r="J87" s="38">
        <f t="shared" si="7"/>
        <v>17228</v>
      </c>
      <c r="L87">
        <v>86</v>
      </c>
    </row>
    <row r="88" spans="1:12" ht="32.1" customHeight="1" x14ac:dyDescent="0.2">
      <c r="A88" s="1">
        <v>82</v>
      </c>
      <c r="B88" s="51" t="s">
        <v>85</v>
      </c>
      <c r="C88" s="52"/>
      <c r="D88" s="9">
        <v>400</v>
      </c>
      <c r="E88" s="31">
        <v>285.56</v>
      </c>
      <c r="F88" s="31">
        <f t="shared" si="4"/>
        <v>114224</v>
      </c>
      <c r="G88" s="38">
        <f t="shared" si="5"/>
        <v>339.84</v>
      </c>
      <c r="H88" s="38">
        <f t="shared" si="6"/>
        <v>135936</v>
      </c>
      <c r="I88" s="31">
        <v>298.54000000000002</v>
      </c>
      <c r="J88" s="38">
        <f t="shared" si="7"/>
        <v>119416.00000000001</v>
      </c>
      <c r="L88">
        <v>288</v>
      </c>
    </row>
    <row r="89" spans="1:12" ht="32.1" customHeight="1" x14ac:dyDescent="0.2">
      <c r="A89" s="1">
        <v>83</v>
      </c>
      <c r="B89" s="51" t="s">
        <v>86</v>
      </c>
      <c r="C89" s="52"/>
      <c r="D89" s="9">
        <v>50</v>
      </c>
      <c r="E89" s="31">
        <v>106.2</v>
      </c>
      <c r="F89" s="31">
        <f t="shared" si="4"/>
        <v>5310</v>
      </c>
      <c r="G89" s="38">
        <f t="shared" si="5"/>
        <v>132.16</v>
      </c>
      <c r="H89" s="38">
        <f t="shared" si="6"/>
        <v>6608</v>
      </c>
      <c r="I89" s="31">
        <v>114.46</v>
      </c>
      <c r="J89" s="38">
        <f t="shared" si="7"/>
        <v>5723</v>
      </c>
      <c r="L89">
        <v>112</v>
      </c>
    </row>
    <row r="90" spans="1:12" ht="32.1" customHeight="1" x14ac:dyDescent="0.2">
      <c r="A90" s="1">
        <v>84</v>
      </c>
      <c r="B90" s="53" t="s">
        <v>87</v>
      </c>
      <c r="C90" s="54"/>
      <c r="D90" s="9">
        <v>30</v>
      </c>
      <c r="E90" s="31">
        <v>47.2</v>
      </c>
      <c r="F90" s="31">
        <f t="shared" si="4"/>
        <v>1416</v>
      </c>
      <c r="G90" s="38">
        <f t="shared" si="5"/>
        <v>63.72</v>
      </c>
      <c r="H90" s="38">
        <f t="shared" si="6"/>
        <v>1911.6</v>
      </c>
      <c r="I90" s="31">
        <v>55.46</v>
      </c>
      <c r="J90" s="38">
        <f t="shared" si="7"/>
        <v>1663.8</v>
      </c>
      <c r="L90">
        <v>54</v>
      </c>
    </row>
    <row r="91" spans="1:12" ht="32.1" customHeight="1" x14ac:dyDescent="0.2">
      <c r="A91" s="3">
        <v>85</v>
      </c>
      <c r="B91" s="53" t="s">
        <v>88</v>
      </c>
      <c r="C91" s="54"/>
      <c r="D91" s="9">
        <v>250</v>
      </c>
      <c r="E91" s="31">
        <v>224.2</v>
      </c>
      <c r="F91" s="31">
        <f t="shared" si="4"/>
        <v>56050</v>
      </c>
      <c r="G91" s="38">
        <f t="shared" si="5"/>
        <v>273.76</v>
      </c>
      <c r="H91" s="38">
        <f t="shared" si="6"/>
        <v>68440</v>
      </c>
      <c r="I91" s="31">
        <v>234.82</v>
      </c>
      <c r="J91" s="38">
        <f t="shared" si="7"/>
        <v>58705</v>
      </c>
      <c r="L91">
        <v>232</v>
      </c>
    </row>
    <row r="92" spans="1:12" ht="32.1" customHeight="1" x14ac:dyDescent="0.2">
      <c r="A92" s="3">
        <v>86</v>
      </c>
      <c r="B92" s="53" t="s">
        <v>89</v>
      </c>
      <c r="C92" s="54"/>
      <c r="D92" s="9">
        <v>50</v>
      </c>
      <c r="E92" s="31">
        <v>129.80000000000001</v>
      </c>
      <c r="F92" s="31">
        <f t="shared" si="4"/>
        <v>6490.0000000000009</v>
      </c>
      <c r="G92" s="38">
        <f t="shared" si="5"/>
        <v>159.30000000000001</v>
      </c>
      <c r="H92" s="38">
        <f t="shared" si="6"/>
        <v>7965.0000000000009</v>
      </c>
      <c r="I92" s="31">
        <v>139.24</v>
      </c>
      <c r="J92" s="38">
        <f t="shared" si="7"/>
        <v>6962</v>
      </c>
      <c r="L92">
        <v>135</v>
      </c>
    </row>
    <row r="93" spans="1:12" ht="32.1" customHeight="1" x14ac:dyDescent="0.2">
      <c r="A93" s="3">
        <v>87</v>
      </c>
      <c r="B93" s="51" t="s">
        <v>90</v>
      </c>
      <c r="C93" s="52"/>
      <c r="D93" s="9">
        <v>50</v>
      </c>
      <c r="E93" s="31">
        <v>615.96</v>
      </c>
      <c r="F93" s="31">
        <f t="shared" si="4"/>
        <v>30798</v>
      </c>
      <c r="G93" s="38">
        <f t="shared" si="5"/>
        <v>733.96</v>
      </c>
      <c r="H93" s="38">
        <f t="shared" si="6"/>
        <v>36698</v>
      </c>
      <c r="I93" s="31">
        <v>630.12</v>
      </c>
      <c r="J93" s="38">
        <f t="shared" si="7"/>
        <v>31506</v>
      </c>
      <c r="L93">
        <v>622</v>
      </c>
    </row>
    <row r="94" spans="1:12" ht="32.1" customHeight="1" x14ac:dyDescent="0.2">
      <c r="A94" s="3">
        <v>88</v>
      </c>
      <c r="B94" s="51" t="s">
        <v>91</v>
      </c>
      <c r="C94" s="52"/>
      <c r="D94" s="9">
        <v>1000</v>
      </c>
      <c r="E94" s="31">
        <v>33.04</v>
      </c>
      <c r="F94" s="31">
        <f t="shared" si="4"/>
        <v>33040</v>
      </c>
      <c r="G94" s="38">
        <f t="shared" si="5"/>
        <v>44.84</v>
      </c>
      <c r="H94" s="38">
        <f t="shared" si="6"/>
        <v>44840</v>
      </c>
      <c r="I94" s="31">
        <v>38.94</v>
      </c>
      <c r="J94" s="38">
        <f t="shared" si="7"/>
        <v>38940</v>
      </c>
      <c r="L94">
        <v>38</v>
      </c>
    </row>
    <row r="95" spans="1:12" ht="32.1" customHeight="1" x14ac:dyDescent="0.2">
      <c r="A95" s="3">
        <v>89</v>
      </c>
      <c r="B95" s="53" t="s">
        <v>92</v>
      </c>
      <c r="C95" s="54"/>
      <c r="D95" s="9">
        <v>400</v>
      </c>
      <c r="E95" s="31">
        <v>53.1</v>
      </c>
      <c r="F95" s="31">
        <f t="shared" si="4"/>
        <v>21240</v>
      </c>
      <c r="G95" s="38">
        <f t="shared" si="5"/>
        <v>73.16</v>
      </c>
      <c r="H95" s="38">
        <f t="shared" si="6"/>
        <v>29264</v>
      </c>
      <c r="I95" s="31">
        <v>60.18</v>
      </c>
      <c r="J95" s="38">
        <f t="shared" si="7"/>
        <v>24072</v>
      </c>
      <c r="L95">
        <v>62</v>
      </c>
    </row>
    <row r="96" spans="1:12" ht="32.1" customHeight="1" x14ac:dyDescent="0.2">
      <c r="A96" s="3">
        <v>90</v>
      </c>
      <c r="B96" s="51" t="s">
        <v>93</v>
      </c>
      <c r="C96" s="52"/>
      <c r="D96" s="9">
        <v>25</v>
      </c>
      <c r="E96" s="31">
        <v>932.2</v>
      </c>
      <c r="F96" s="31">
        <f t="shared" si="4"/>
        <v>23305</v>
      </c>
      <c r="G96" s="38">
        <f t="shared" si="5"/>
        <v>1091.5</v>
      </c>
      <c r="H96" s="38">
        <f t="shared" si="6"/>
        <v>27287.5</v>
      </c>
      <c r="I96" s="31">
        <v>953.44</v>
      </c>
      <c r="J96" s="38">
        <f t="shared" si="7"/>
        <v>23836</v>
      </c>
      <c r="L96">
        <v>925</v>
      </c>
    </row>
    <row r="97" spans="1:12" ht="32.1" customHeight="1" x14ac:dyDescent="0.2">
      <c r="A97" s="3">
        <v>91</v>
      </c>
      <c r="B97" s="51" t="s">
        <v>94</v>
      </c>
      <c r="C97" s="52"/>
      <c r="D97" s="9">
        <v>70</v>
      </c>
      <c r="E97" s="31">
        <v>5900</v>
      </c>
      <c r="F97" s="31">
        <f t="shared" si="4"/>
        <v>413000</v>
      </c>
      <c r="G97" s="38">
        <f t="shared" si="5"/>
        <v>7764.4</v>
      </c>
      <c r="H97" s="38">
        <f t="shared" si="6"/>
        <v>543508</v>
      </c>
      <c r="I97" s="31">
        <v>6667</v>
      </c>
      <c r="J97" s="38">
        <f t="shared" si="7"/>
        <v>466690</v>
      </c>
      <c r="L97">
        <v>6580</v>
      </c>
    </row>
    <row r="98" spans="1:12" ht="32.1" customHeight="1" x14ac:dyDescent="0.2">
      <c r="A98" s="3">
        <v>92</v>
      </c>
      <c r="B98" s="53" t="s">
        <v>95</v>
      </c>
      <c r="C98" s="54"/>
      <c r="D98" s="9">
        <v>10</v>
      </c>
      <c r="E98" s="31">
        <v>5900</v>
      </c>
      <c r="F98" s="31">
        <f t="shared" si="4"/>
        <v>59000</v>
      </c>
      <c r="G98" s="38">
        <f t="shared" si="5"/>
        <v>7764.4</v>
      </c>
      <c r="H98" s="38">
        <f t="shared" si="6"/>
        <v>77644</v>
      </c>
      <c r="I98" s="31">
        <v>6667</v>
      </c>
      <c r="J98" s="38">
        <f t="shared" si="7"/>
        <v>66670</v>
      </c>
      <c r="L98">
        <v>6580</v>
      </c>
    </row>
    <row r="99" spans="1:12" ht="32.1" customHeight="1" x14ac:dyDescent="0.2">
      <c r="A99" s="3">
        <v>93</v>
      </c>
      <c r="B99" s="51" t="s">
        <v>96</v>
      </c>
      <c r="C99" s="52"/>
      <c r="D99" s="9">
        <v>12</v>
      </c>
      <c r="E99" s="31">
        <v>1838.44</v>
      </c>
      <c r="F99" s="31">
        <f t="shared" si="4"/>
        <v>22061.279999999999</v>
      </c>
      <c r="G99" s="38">
        <f t="shared" si="5"/>
        <v>2118.1</v>
      </c>
      <c r="H99" s="38">
        <f t="shared" si="6"/>
        <v>25417.199999999997</v>
      </c>
      <c r="I99" s="31">
        <v>1875.02</v>
      </c>
      <c r="J99" s="38">
        <f t="shared" si="7"/>
        <v>22500.239999999998</v>
      </c>
      <c r="L99">
        <v>1795</v>
      </c>
    </row>
    <row r="100" spans="1:12" ht="32.1" customHeight="1" x14ac:dyDescent="0.2">
      <c r="A100" s="3">
        <v>94</v>
      </c>
      <c r="B100" s="51" t="s">
        <v>97</v>
      </c>
      <c r="C100" s="52"/>
      <c r="D100" s="9">
        <v>30</v>
      </c>
      <c r="E100" s="31">
        <v>134.52000000000001</v>
      </c>
      <c r="F100" s="31">
        <f t="shared" si="4"/>
        <v>4035.6000000000004</v>
      </c>
      <c r="G100" s="38">
        <f t="shared" si="5"/>
        <v>162.84</v>
      </c>
      <c r="H100" s="38">
        <f t="shared" si="6"/>
        <v>4885.2</v>
      </c>
      <c r="I100" s="31">
        <v>141.6</v>
      </c>
      <c r="J100" s="38">
        <f t="shared" si="7"/>
        <v>4248</v>
      </c>
      <c r="L100">
        <v>138</v>
      </c>
    </row>
    <row r="101" spans="1:12" ht="32.1" customHeight="1" x14ac:dyDescent="0.2">
      <c r="A101" s="3">
        <v>95</v>
      </c>
      <c r="B101" s="53" t="s">
        <v>98</v>
      </c>
      <c r="C101" s="54"/>
      <c r="D101" s="9">
        <v>100</v>
      </c>
      <c r="E101" s="31">
        <v>9.44</v>
      </c>
      <c r="F101" s="31">
        <f t="shared" si="4"/>
        <v>944</v>
      </c>
      <c r="G101" s="38">
        <f t="shared" si="5"/>
        <v>12.39</v>
      </c>
      <c r="H101" s="38">
        <f t="shared" si="6"/>
        <v>1239</v>
      </c>
      <c r="I101" s="31">
        <v>11.8</v>
      </c>
      <c r="J101" s="38">
        <f t="shared" si="7"/>
        <v>1180</v>
      </c>
      <c r="L101">
        <v>10.5</v>
      </c>
    </row>
    <row r="102" spans="1:12" ht="32.1" customHeight="1" x14ac:dyDescent="0.2">
      <c r="A102" s="3">
        <v>96</v>
      </c>
      <c r="B102" s="51" t="s">
        <v>99</v>
      </c>
      <c r="C102" s="52"/>
      <c r="D102" s="9">
        <v>300</v>
      </c>
      <c r="E102" s="31">
        <v>51.92</v>
      </c>
      <c r="F102" s="31">
        <f t="shared" si="4"/>
        <v>15576</v>
      </c>
      <c r="G102" s="38">
        <f t="shared" si="5"/>
        <v>64.900000000000006</v>
      </c>
      <c r="H102" s="38">
        <f t="shared" si="6"/>
        <v>19470</v>
      </c>
      <c r="I102" s="31">
        <v>55.46</v>
      </c>
      <c r="J102" s="38">
        <f t="shared" si="7"/>
        <v>16638</v>
      </c>
      <c r="L102">
        <v>55</v>
      </c>
    </row>
    <row r="103" spans="1:12" ht="32.1" customHeight="1" x14ac:dyDescent="0.2">
      <c r="A103" s="3">
        <v>97</v>
      </c>
      <c r="B103" s="53" t="s">
        <v>100</v>
      </c>
      <c r="C103" s="54"/>
      <c r="D103" s="9">
        <v>5</v>
      </c>
      <c r="E103" s="31">
        <v>2334.04</v>
      </c>
      <c r="F103" s="31">
        <f t="shared" si="4"/>
        <v>11670.2</v>
      </c>
      <c r="G103" s="38">
        <f t="shared" si="5"/>
        <v>2643.2</v>
      </c>
      <c r="H103" s="38">
        <f t="shared" si="6"/>
        <v>13216</v>
      </c>
      <c r="I103" s="31">
        <v>2351.7399999999998</v>
      </c>
      <c r="J103" s="38">
        <f t="shared" si="7"/>
        <v>11758.699999999999</v>
      </c>
      <c r="L103">
        <v>2240</v>
      </c>
    </row>
    <row r="104" spans="1:12" ht="32.1" customHeight="1" x14ac:dyDescent="0.2">
      <c r="A104" s="3">
        <v>98</v>
      </c>
      <c r="B104" s="51" t="s">
        <v>101</v>
      </c>
      <c r="C104" s="52"/>
      <c r="D104" s="9">
        <v>100</v>
      </c>
      <c r="E104" s="31">
        <v>159.30000000000001</v>
      </c>
      <c r="F104" s="31">
        <f t="shared" si="4"/>
        <v>15930.000000000002</v>
      </c>
      <c r="G104" s="38">
        <f t="shared" si="5"/>
        <v>186.44</v>
      </c>
      <c r="H104" s="38">
        <f t="shared" si="6"/>
        <v>18644</v>
      </c>
      <c r="I104" s="31">
        <v>167.56</v>
      </c>
      <c r="J104" s="38">
        <f t="shared" si="7"/>
        <v>16756</v>
      </c>
      <c r="L104">
        <v>158</v>
      </c>
    </row>
    <row r="105" spans="1:12" ht="32.1" customHeight="1" x14ac:dyDescent="0.2">
      <c r="A105" s="3">
        <v>99</v>
      </c>
      <c r="B105" s="53" t="s">
        <v>102</v>
      </c>
      <c r="C105" s="54"/>
      <c r="D105" s="9">
        <v>5</v>
      </c>
      <c r="E105" s="31">
        <v>68.44</v>
      </c>
      <c r="F105" s="31">
        <f t="shared" si="4"/>
        <v>342.2</v>
      </c>
      <c r="G105" s="38">
        <f t="shared" si="5"/>
        <v>56.64</v>
      </c>
      <c r="H105" s="38">
        <f t="shared" si="6"/>
        <v>283.2</v>
      </c>
      <c r="I105" s="31">
        <v>73.16</v>
      </c>
      <c r="J105" s="38">
        <f t="shared" si="7"/>
        <v>365.79999999999995</v>
      </c>
      <c r="L105">
        <v>48</v>
      </c>
    </row>
    <row r="106" spans="1:12" ht="32.1" customHeight="1" x14ac:dyDescent="0.2">
      <c r="A106" s="3">
        <v>100</v>
      </c>
      <c r="B106" s="53" t="s">
        <v>103</v>
      </c>
      <c r="C106" s="54"/>
      <c r="D106" s="9">
        <v>100</v>
      </c>
      <c r="E106" s="31">
        <v>76.7</v>
      </c>
      <c r="F106" s="31">
        <f t="shared" si="4"/>
        <v>7670</v>
      </c>
      <c r="G106" s="38">
        <f t="shared" si="5"/>
        <v>92.039999999999992</v>
      </c>
      <c r="H106" s="38">
        <f t="shared" si="6"/>
        <v>9204</v>
      </c>
      <c r="I106" s="31">
        <v>81.42</v>
      </c>
      <c r="J106" s="38">
        <f t="shared" si="7"/>
        <v>8142</v>
      </c>
      <c r="L106">
        <v>78</v>
      </c>
    </row>
    <row r="107" spans="1:12" ht="32.1" customHeight="1" x14ac:dyDescent="0.2">
      <c r="A107" s="3">
        <v>101</v>
      </c>
      <c r="B107" s="51" t="s">
        <v>104</v>
      </c>
      <c r="C107" s="52"/>
      <c r="D107" s="9">
        <v>10</v>
      </c>
      <c r="E107" s="31">
        <v>159.30000000000001</v>
      </c>
      <c r="F107" s="31">
        <f t="shared" si="4"/>
        <v>1593</v>
      </c>
      <c r="G107" s="38">
        <f t="shared" si="5"/>
        <v>193.52</v>
      </c>
      <c r="H107" s="38">
        <f t="shared" si="6"/>
        <v>1935.2</v>
      </c>
      <c r="I107" s="31">
        <v>167.56</v>
      </c>
      <c r="J107" s="38">
        <f t="shared" si="7"/>
        <v>1675.6</v>
      </c>
      <c r="L107">
        <v>164</v>
      </c>
    </row>
    <row r="108" spans="1:12" ht="32.1" customHeight="1" x14ac:dyDescent="0.2">
      <c r="A108" s="3">
        <v>102</v>
      </c>
      <c r="B108" s="51" t="s">
        <v>105</v>
      </c>
      <c r="C108" s="52"/>
      <c r="D108" s="9">
        <v>100</v>
      </c>
      <c r="E108" s="31">
        <v>169.92</v>
      </c>
      <c r="F108" s="31">
        <f t="shared" si="4"/>
        <v>16992</v>
      </c>
      <c r="G108" s="38">
        <f t="shared" si="5"/>
        <v>202.96</v>
      </c>
      <c r="H108" s="38">
        <f t="shared" si="6"/>
        <v>20296</v>
      </c>
      <c r="I108" s="31">
        <v>177</v>
      </c>
      <c r="J108" s="38">
        <f t="shared" si="7"/>
        <v>17700</v>
      </c>
      <c r="L108">
        <v>172</v>
      </c>
    </row>
    <row r="109" spans="1:12" ht="32.1" customHeight="1" x14ac:dyDescent="0.2">
      <c r="A109" s="3">
        <v>103</v>
      </c>
      <c r="B109" s="51" t="s">
        <v>106</v>
      </c>
      <c r="C109" s="52"/>
      <c r="D109" s="9">
        <v>5</v>
      </c>
      <c r="E109" s="31">
        <v>2293.92</v>
      </c>
      <c r="F109" s="31">
        <f t="shared" si="4"/>
        <v>11469.6</v>
      </c>
      <c r="G109" s="38">
        <f t="shared" si="5"/>
        <v>2690.4</v>
      </c>
      <c r="H109" s="38">
        <f t="shared" si="6"/>
        <v>13452</v>
      </c>
      <c r="I109" s="31">
        <v>2316.34</v>
      </c>
      <c r="J109" s="38">
        <f t="shared" si="7"/>
        <v>11581.7</v>
      </c>
      <c r="L109">
        <v>2280</v>
      </c>
    </row>
    <row r="110" spans="1:12" ht="32.1" customHeight="1" x14ac:dyDescent="0.2">
      <c r="A110" s="3">
        <v>104</v>
      </c>
      <c r="B110" s="53" t="s">
        <v>107</v>
      </c>
      <c r="C110" s="54"/>
      <c r="D110" s="9">
        <v>5</v>
      </c>
      <c r="E110" s="31">
        <v>29366.66</v>
      </c>
      <c r="F110" s="31">
        <f t="shared" si="4"/>
        <v>146833.29999999999</v>
      </c>
      <c r="G110" s="38">
        <f t="shared" si="5"/>
        <v>34196.400000000001</v>
      </c>
      <c r="H110" s="38">
        <f t="shared" si="6"/>
        <v>170982</v>
      </c>
      <c r="I110" s="31">
        <v>30420.400000000001</v>
      </c>
      <c r="J110" s="38">
        <f t="shared" si="7"/>
        <v>152102</v>
      </c>
      <c r="L110">
        <v>28980</v>
      </c>
    </row>
    <row r="111" spans="1:12" ht="32.1" customHeight="1" x14ac:dyDescent="0.2">
      <c r="A111" s="3">
        <v>105</v>
      </c>
      <c r="B111" s="53" t="s">
        <v>108</v>
      </c>
      <c r="C111" s="54"/>
      <c r="D111" s="9">
        <v>5</v>
      </c>
      <c r="E111" s="31">
        <v>587.64</v>
      </c>
      <c r="F111" s="31">
        <f t="shared" si="4"/>
        <v>2938.2</v>
      </c>
      <c r="G111" s="38">
        <f t="shared" si="5"/>
        <v>690.3</v>
      </c>
      <c r="H111" s="38">
        <f t="shared" si="6"/>
        <v>3451.5</v>
      </c>
      <c r="I111" s="31">
        <v>1444.32</v>
      </c>
      <c r="J111" s="38">
        <f t="shared" si="7"/>
        <v>7221.5999999999995</v>
      </c>
      <c r="L111">
        <v>585</v>
      </c>
    </row>
    <row r="112" spans="1:12" ht="32.1" customHeight="1" x14ac:dyDescent="0.2">
      <c r="A112" s="3">
        <v>106</v>
      </c>
      <c r="B112" s="51" t="s">
        <v>109</v>
      </c>
      <c r="C112" s="52"/>
      <c r="D112" s="9">
        <v>5</v>
      </c>
      <c r="E112" s="31">
        <v>257.24</v>
      </c>
      <c r="F112" s="31">
        <f t="shared" si="4"/>
        <v>1286.2</v>
      </c>
      <c r="G112" s="38">
        <f t="shared" si="5"/>
        <v>311.52</v>
      </c>
      <c r="H112" s="38">
        <f t="shared" si="6"/>
        <v>1557.6</v>
      </c>
      <c r="I112" s="31">
        <v>1159.94</v>
      </c>
      <c r="J112" s="38">
        <f t="shared" si="7"/>
        <v>5799.7000000000007</v>
      </c>
      <c r="L112">
        <v>264</v>
      </c>
    </row>
    <row r="113" spans="1:12" ht="32.1" customHeight="1" x14ac:dyDescent="0.2">
      <c r="A113" s="3">
        <v>107</v>
      </c>
      <c r="B113" s="53" t="s">
        <v>110</v>
      </c>
      <c r="C113" s="54"/>
      <c r="D113" s="9">
        <v>6</v>
      </c>
      <c r="E113" s="31">
        <v>29366.66</v>
      </c>
      <c r="F113" s="31">
        <f t="shared" si="4"/>
        <v>176199.96</v>
      </c>
      <c r="G113" s="38">
        <f t="shared" si="5"/>
        <v>34161</v>
      </c>
      <c r="H113" s="38">
        <f t="shared" si="6"/>
        <v>204966</v>
      </c>
      <c r="I113" s="31">
        <v>30255.200000000001</v>
      </c>
      <c r="J113" s="38">
        <f t="shared" si="7"/>
        <v>181531.2</v>
      </c>
      <c r="L113">
        <v>28950</v>
      </c>
    </row>
    <row r="114" spans="1:12" ht="32.1" customHeight="1" x14ac:dyDescent="0.2">
      <c r="A114" s="3">
        <v>108</v>
      </c>
      <c r="B114" s="51" t="s">
        <v>111</v>
      </c>
      <c r="C114" s="52"/>
      <c r="D114" s="9">
        <v>150</v>
      </c>
      <c r="E114" s="31">
        <v>503.86</v>
      </c>
      <c r="F114" s="31">
        <f t="shared" si="4"/>
        <v>75579</v>
      </c>
      <c r="G114" s="38">
        <f t="shared" si="5"/>
        <v>846.06</v>
      </c>
      <c r="H114" s="38">
        <f t="shared" si="6"/>
        <v>126908.99999999999</v>
      </c>
      <c r="I114" s="31">
        <v>736.32</v>
      </c>
      <c r="J114" s="38">
        <f t="shared" si="7"/>
        <v>110448.00000000001</v>
      </c>
      <c r="L114">
        <v>717</v>
      </c>
    </row>
    <row r="115" spans="1:12" ht="32.1" customHeight="1" x14ac:dyDescent="0.2">
      <c r="A115" s="3">
        <v>109</v>
      </c>
      <c r="B115" s="51" t="s">
        <v>112</v>
      </c>
      <c r="C115" s="52"/>
      <c r="D115" s="9">
        <v>10</v>
      </c>
      <c r="E115" s="31">
        <v>7344.32</v>
      </c>
      <c r="F115" s="31">
        <f t="shared" si="4"/>
        <v>73443.199999999997</v>
      </c>
      <c r="G115" s="38">
        <f t="shared" si="5"/>
        <v>10911.46</v>
      </c>
      <c r="H115" s="38">
        <f t="shared" si="6"/>
        <v>109114.59999999999</v>
      </c>
      <c r="I115" s="31">
        <v>11151</v>
      </c>
      <c r="J115" s="38">
        <f t="shared" si="7"/>
        <v>111510</v>
      </c>
      <c r="L115">
        <v>9247</v>
      </c>
    </row>
    <row r="116" spans="1:12" ht="32.1" customHeight="1" x14ac:dyDescent="0.2">
      <c r="A116" s="3">
        <v>110</v>
      </c>
      <c r="B116" s="51" t="s">
        <v>113</v>
      </c>
      <c r="C116" s="52"/>
      <c r="D116" s="9">
        <v>150</v>
      </c>
      <c r="E116" s="31">
        <v>503.86</v>
      </c>
      <c r="F116" s="31">
        <f t="shared" si="4"/>
        <v>75579</v>
      </c>
      <c r="G116" s="38">
        <f t="shared" si="5"/>
        <v>854.31999999999994</v>
      </c>
      <c r="H116" s="38">
        <f t="shared" si="6"/>
        <v>128147.99999999999</v>
      </c>
      <c r="I116" s="31">
        <v>643.1</v>
      </c>
      <c r="J116" s="38">
        <f t="shared" si="7"/>
        <v>96465</v>
      </c>
      <c r="L116">
        <v>724</v>
      </c>
    </row>
    <row r="117" spans="1:12" ht="32.1" customHeight="1" x14ac:dyDescent="0.2">
      <c r="A117" s="3">
        <v>111</v>
      </c>
      <c r="B117" s="51" t="s">
        <v>114</v>
      </c>
      <c r="C117" s="52"/>
      <c r="D117" s="9">
        <v>150</v>
      </c>
      <c r="E117" s="31">
        <v>291.45999999999998</v>
      </c>
      <c r="F117" s="31">
        <f t="shared" si="4"/>
        <v>43719</v>
      </c>
      <c r="G117" s="38">
        <f t="shared" si="5"/>
        <v>560.5</v>
      </c>
      <c r="H117" s="38">
        <f t="shared" si="6"/>
        <v>84075</v>
      </c>
      <c r="I117" s="31">
        <v>365.8</v>
      </c>
      <c r="J117" s="38">
        <f t="shared" si="7"/>
        <v>54870</v>
      </c>
      <c r="L117">
        <v>475</v>
      </c>
    </row>
    <row r="118" spans="1:12" ht="32.1" customHeight="1" x14ac:dyDescent="0.2">
      <c r="A118" s="3">
        <v>112</v>
      </c>
      <c r="B118" s="53" t="s">
        <v>115</v>
      </c>
      <c r="C118" s="54"/>
      <c r="D118" s="9">
        <v>100</v>
      </c>
      <c r="E118" s="31">
        <v>1444.32</v>
      </c>
      <c r="F118" s="31">
        <f t="shared" si="4"/>
        <v>144432</v>
      </c>
      <c r="G118" s="38">
        <f t="shared" si="5"/>
        <v>2194.8000000000002</v>
      </c>
      <c r="H118" s="38">
        <f t="shared" si="6"/>
        <v>219480.00000000003</v>
      </c>
      <c r="I118" s="31">
        <v>1829</v>
      </c>
      <c r="J118" s="38">
        <f t="shared" si="7"/>
        <v>182900</v>
      </c>
      <c r="L118">
        <v>1860</v>
      </c>
    </row>
    <row r="119" spans="1:12" ht="32.1" customHeight="1" x14ac:dyDescent="0.2">
      <c r="A119" s="3">
        <v>113</v>
      </c>
      <c r="B119" s="51" t="s">
        <v>116</v>
      </c>
      <c r="C119" s="52"/>
      <c r="D119" s="9">
        <v>100</v>
      </c>
      <c r="E119" s="31">
        <v>291.45999999999998</v>
      </c>
      <c r="F119" s="31">
        <f t="shared" si="4"/>
        <v>29145.999999999996</v>
      </c>
      <c r="G119" s="38">
        <f t="shared" si="5"/>
        <v>339.84</v>
      </c>
      <c r="H119" s="38">
        <f t="shared" si="6"/>
        <v>33984</v>
      </c>
      <c r="I119" s="31">
        <v>531</v>
      </c>
      <c r="J119" s="38">
        <f t="shared" si="7"/>
        <v>53100</v>
      </c>
      <c r="L119">
        <v>288</v>
      </c>
    </row>
    <row r="120" spans="1:12" ht="32.1" customHeight="1" x14ac:dyDescent="0.2">
      <c r="A120" s="3">
        <v>114</v>
      </c>
      <c r="B120" s="51" t="s">
        <v>117</v>
      </c>
      <c r="C120" s="52"/>
      <c r="D120" s="9">
        <v>100</v>
      </c>
      <c r="E120" s="31">
        <v>146.32</v>
      </c>
      <c r="F120" s="31">
        <f t="shared" si="4"/>
        <v>14632</v>
      </c>
      <c r="G120" s="38">
        <f t="shared" si="5"/>
        <v>224.2</v>
      </c>
      <c r="H120" s="38">
        <f t="shared" si="6"/>
        <v>22420</v>
      </c>
      <c r="I120" s="31">
        <v>264.32</v>
      </c>
      <c r="J120" s="38">
        <f t="shared" si="7"/>
        <v>26432</v>
      </c>
      <c r="L120">
        <v>190</v>
      </c>
    </row>
    <row r="121" spans="1:12" ht="32.1" customHeight="1" x14ac:dyDescent="0.2">
      <c r="A121" s="3">
        <v>115</v>
      </c>
      <c r="B121" s="53" t="s">
        <v>118</v>
      </c>
      <c r="C121" s="54"/>
      <c r="D121" s="9">
        <v>50</v>
      </c>
      <c r="E121" s="31">
        <v>2121.64</v>
      </c>
      <c r="F121" s="31">
        <f t="shared" si="4"/>
        <v>106082</v>
      </c>
      <c r="G121" s="38">
        <f t="shared" si="5"/>
        <v>2584.1999999999998</v>
      </c>
      <c r="H121" s="38">
        <f t="shared" si="6"/>
        <v>129209.99999999999</v>
      </c>
      <c r="I121" s="31">
        <v>2506.3200000000002</v>
      </c>
      <c r="J121" s="38">
        <f t="shared" si="7"/>
        <v>125316.00000000001</v>
      </c>
      <c r="L121">
        <v>2190</v>
      </c>
    </row>
    <row r="122" spans="1:12" ht="32.1" customHeight="1" x14ac:dyDescent="0.2">
      <c r="A122" s="3">
        <v>116</v>
      </c>
      <c r="B122" s="51" t="s">
        <v>119</v>
      </c>
      <c r="C122" s="52"/>
      <c r="D122" s="9">
        <v>10</v>
      </c>
      <c r="E122" s="31">
        <v>1090.32</v>
      </c>
      <c r="F122" s="31">
        <f t="shared" si="4"/>
        <v>10903.199999999999</v>
      </c>
      <c r="G122" s="38">
        <f t="shared" si="5"/>
        <v>1286.2</v>
      </c>
      <c r="H122" s="38">
        <f t="shared" si="6"/>
        <v>12862</v>
      </c>
      <c r="I122" s="31">
        <v>2152.3200000000002</v>
      </c>
      <c r="J122" s="38">
        <f t="shared" si="7"/>
        <v>21523.200000000001</v>
      </c>
      <c r="L122">
        <v>1090</v>
      </c>
    </row>
    <row r="123" spans="1:12" ht="32.1" customHeight="1" x14ac:dyDescent="0.2">
      <c r="A123" s="3">
        <v>117</v>
      </c>
      <c r="B123" s="51" t="s">
        <v>120</v>
      </c>
      <c r="C123" s="52"/>
      <c r="D123" s="9">
        <v>50</v>
      </c>
      <c r="E123" s="31">
        <v>1754.66</v>
      </c>
      <c r="F123" s="31">
        <f t="shared" si="4"/>
        <v>87733</v>
      </c>
      <c r="G123" s="38">
        <f t="shared" si="5"/>
        <v>1982.4</v>
      </c>
      <c r="H123" s="38">
        <f t="shared" si="6"/>
        <v>99120</v>
      </c>
      <c r="I123" s="31">
        <v>2218.4</v>
      </c>
      <c r="J123" s="38">
        <f t="shared" si="7"/>
        <v>110920</v>
      </c>
      <c r="L123">
        <v>1680</v>
      </c>
    </row>
    <row r="124" spans="1:12" ht="26.25" customHeight="1" x14ac:dyDescent="0.2">
      <c r="A124" s="42" t="s">
        <v>244</v>
      </c>
      <c r="B124" s="43"/>
      <c r="C124" s="43"/>
      <c r="D124" s="44"/>
      <c r="E124" s="45">
        <f>SUM(F7:F123)</f>
        <v>6352901.9400000004</v>
      </c>
      <c r="F124" s="46"/>
      <c r="G124" s="45">
        <f>SUM(H7:H123)</f>
        <v>8124871.1200000001</v>
      </c>
      <c r="H124" s="46"/>
      <c r="I124" s="45">
        <f>SUM(J7:J123)</f>
        <v>7096076.6799999997</v>
      </c>
      <c r="J124" s="46"/>
    </row>
    <row r="125" spans="1:12" s="18" customFormat="1" ht="85.5" customHeight="1" x14ac:dyDescent="0.25">
      <c r="B125" s="19"/>
      <c r="C125" s="19"/>
    </row>
    <row r="126" spans="1:12" s="18" customFormat="1" ht="15.75" x14ac:dyDescent="0.25">
      <c r="B126" s="19"/>
      <c r="C126" s="19"/>
    </row>
    <row r="127" spans="1:12" s="18" customFormat="1" ht="15.75" x14ac:dyDescent="0.25">
      <c r="A127" s="39" t="s">
        <v>245</v>
      </c>
      <c r="B127" s="39"/>
      <c r="C127" s="39"/>
      <c r="D127" s="39" t="s">
        <v>266</v>
      </c>
      <c r="E127" s="39"/>
      <c r="F127" s="39"/>
      <c r="G127" s="39"/>
      <c r="H127" s="39" t="s">
        <v>246</v>
      </c>
      <c r="I127" s="39"/>
      <c r="J127" s="39"/>
    </row>
    <row r="128" spans="1:12" s="18" customFormat="1" ht="15.75" x14ac:dyDescent="0.25">
      <c r="A128" s="40" t="s">
        <v>247</v>
      </c>
      <c r="B128" s="40"/>
      <c r="C128" s="40"/>
      <c r="D128" s="41" t="s">
        <v>248</v>
      </c>
      <c r="E128" s="41"/>
      <c r="F128" s="41"/>
      <c r="G128" s="41"/>
      <c r="H128" s="41" t="s">
        <v>247</v>
      </c>
      <c r="I128" s="41"/>
      <c r="J128" s="41"/>
    </row>
    <row r="129" spans="1:10" s="18" customFormat="1" ht="15" customHeight="1" x14ac:dyDescent="0.25">
      <c r="A129" s="40" t="s">
        <v>249</v>
      </c>
      <c r="B129" s="40"/>
      <c r="C129" s="40"/>
      <c r="D129" s="40" t="s">
        <v>249</v>
      </c>
      <c r="E129" s="40"/>
      <c r="F129" s="40"/>
      <c r="G129" s="40"/>
      <c r="H129" s="40" t="s">
        <v>249</v>
      </c>
      <c r="I129" s="40"/>
      <c r="J129" s="40"/>
    </row>
    <row r="130" spans="1:10" s="18" customFormat="1" ht="66" customHeight="1" x14ac:dyDescent="0.25">
      <c r="B130" s="19"/>
      <c r="C130" s="19"/>
    </row>
    <row r="131" spans="1:10" s="18" customFormat="1" ht="15.75" x14ac:dyDescent="0.25">
      <c r="B131" s="19"/>
      <c r="C131" s="19"/>
    </row>
    <row r="132" spans="1:10" s="18" customFormat="1" ht="15.75" x14ac:dyDescent="0.25">
      <c r="A132" s="39" t="s">
        <v>250</v>
      </c>
      <c r="B132" s="39"/>
      <c r="C132" s="39"/>
      <c r="E132" s="20"/>
      <c r="F132" s="20"/>
      <c r="H132" s="39" t="s">
        <v>251</v>
      </c>
      <c r="I132" s="39"/>
      <c r="J132" s="39"/>
    </row>
    <row r="133" spans="1:10" s="18" customFormat="1" ht="15.75" x14ac:dyDescent="0.25">
      <c r="A133" s="41" t="s">
        <v>252</v>
      </c>
      <c r="B133" s="41"/>
      <c r="C133" s="41"/>
      <c r="E133" s="21"/>
      <c r="F133" s="21"/>
      <c r="H133" s="41" t="s">
        <v>253</v>
      </c>
      <c r="I133" s="41"/>
      <c r="J133" s="41"/>
    </row>
    <row r="134" spans="1:10" s="18" customFormat="1" ht="15.75" x14ac:dyDescent="0.25">
      <c r="A134" s="40" t="s">
        <v>249</v>
      </c>
      <c r="B134" s="40"/>
      <c r="C134" s="40"/>
      <c r="E134" s="22"/>
      <c r="F134" s="22"/>
      <c r="H134" s="40" t="s">
        <v>249</v>
      </c>
      <c r="I134" s="40"/>
      <c r="J134" s="40"/>
    </row>
    <row r="135" spans="1:10" s="18" customFormat="1" ht="15.75" x14ac:dyDescent="0.25">
      <c r="A135" s="22"/>
      <c r="B135" s="22"/>
      <c r="C135" s="19"/>
      <c r="E135" s="22"/>
      <c r="F135" s="22"/>
      <c r="H135" s="22"/>
      <c r="I135" s="22"/>
    </row>
    <row r="136" spans="1:10" s="18" customFormat="1" ht="15.75" x14ac:dyDescent="0.25">
      <c r="A136" s="39" t="s">
        <v>254</v>
      </c>
      <c r="B136" s="39"/>
      <c r="C136" s="39"/>
      <c r="D136" s="39"/>
      <c r="E136" s="39"/>
      <c r="F136" s="39"/>
      <c r="G136" s="39"/>
      <c r="H136" s="39"/>
      <c r="I136" s="39"/>
      <c r="J136" s="39"/>
    </row>
    <row r="137" spans="1:10" s="18" customFormat="1" ht="15.75" x14ac:dyDescent="0.25">
      <c r="A137" s="41" t="s">
        <v>255</v>
      </c>
      <c r="B137" s="41"/>
      <c r="C137" s="41"/>
      <c r="D137" s="41"/>
      <c r="E137" s="41"/>
      <c r="F137" s="41"/>
      <c r="G137" s="41"/>
      <c r="H137" s="41"/>
      <c r="I137" s="41"/>
      <c r="J137" s="41"/>
    </row>
    <row r="138" spans="1:10" s="18" customFormat="1" ht="15.75" x14ac:dyDescent="0.25">
      <c r="A138" s="40" t="s">
        <v>265</v>
      </c>
      <c r="B138" s="40"/>
      <c r="C138" s="40"/>
      <c r="D138" s="40"/>
      <c r="E138" s="40"/>
      <c r="F138" s="40"/>
      <c r="G138" s="40"/>
      <c r="H138" s="40"/>
      <c r="I138" s="40"/>
      <c r="J138" s="40"/>
    </row>
  </sheetData>
  <mergeCells count="151">
    <mergeCell ref="B118:C118"/>
    <mergeCell ref="B119:C119"/>
    <mergeCell ref="B120:C120"/>
    <mergeCell ref="B121:C121"/>
    <mergeCell ref="B122:C122"/>
    <mergeCell ref="B123:C123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88:C88"/>
    <mergeCell ref="B89:C89"/>
    <mergeCell ref="B90:C90"/>
    <mergeCell ref="B91:C91"/>
    <mergeCell ref="B108:C108"/>
    <mergeCell ref="B109:C109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A1:J1"/>
    <mergeCell ref="A2:J2"/>
    <mergeCell ref="A3:J3"/>
    <mergeCell ref="B6:C6"/>
    <mergeCell ref="B7:C7"/>
    <mergeCell ref="B8:C8"/>
    <mergeCell ref="B9:C9"/>
    <mergeCell ref="B10:C10"/>
    <mergeCell ref="D4:F4"/>
    <mergeCell ref="G4:H4"/>
    <mergeCell ref="A124:D124"/>
    <mergeCell ref="E124:F124"/>
    <mergeCell ref="G124:H124"/>
    <mergeCell ref="I124:J124"/>
    <mergeCell ref="I4:J4"/>
    <mergeCell ref="D5:F5"/>
    <mergeCell ref="G5:H5"/>
    <mergeCell ref="I5:J5"/>
    <mergeCell ref="B4:C5"/>
    <mergeCell ref="A4:A5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A132:C132"/>
    <mergeCell ref="A133:C133"/>
    <mergeCell ref="A134:C134"/>
    <mergeCell ref="H132:J132"/>
    <mergeCell ref="H133:J133"/>
    <mergeCell ref="H134:J134"/>
    <mergeCell ref="A136:J136"/>
    <mergeCell ref="A137:J137"/>
    <mergeCell ref="A138:J138"/>
    <mergeCell ref="A127:C127"/>
    <mergeCell ref="A128:C128"/>
    <mergeCell ref="A129:C129"/>
    <mergeCell ref="H127:J127"/>
    <mergeCell ref="D129:G129"/>
    <mergeCell ref="H128:J128"/>
    <mergeCell ref="H129:J129"/>
    <mergeCell ref="D127:G127"/>
    <mergeCell ref="D128:G128"/>
  </mergeCells>
  <printOptions horizontalCentered="1" verticalCentered="1"/>
  <pageMargins left="0.31496062992125984" right="0.31496062992125984" top="0.55118110236220474" bottom="0.74803149606299213" header="0.31496062992125984" footer="0.31496062992125984"/>
  <pageSetup paperSize="9" scale="67" fitToHeight="0" orientation="portrait" r:id="rId1"/>
  <headerFooter>
    <oddFooter>Page &amp;P of &amp;N</oddFooter>
  </headerFooter>
  <rowBreaks count="4" manualBreakCount="4">
    <brk id="31" max="9" man="1"/>
    <brk id="58" max="9" man="1"/>
    <brk id="85" max="9" man="1"/>
    <brk id="112" max="9" man="1"/>
  </rowBreaks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view="pageBreakPreview" zoomScale="60" zoomScaleNormal="100" workbookViewId="0">
      <selection activeCell="A31" sqref="A1:H31"/>
    </sheetView>
  </sheetViews>
  <sheetFormatPr defaultRowHeight="12.75" x14ac:dyDescent="0.2"/>
  <cols>
    <col min="1" max="1" width="5.83203125" customWidth="1"/>
    <col min="2" max="2" width="2.6640625" customWidth="1"/>
    <col min="3" max="3" width="45.5" customWidth="1"/>
    <col min="4" max="4" width="12.1640625" customWidth="1"/>
    <col min="5" max="5" width="12.33203125" customWidth="1"/>
    <col min="6" max="6" width="17" customWidth="1"/>
    <col min="7" max="7" width="12.1640625" customWidth="1"/>
    <col min="8" max="8" width="17.6640625" customWidth="1"/>
  </cols>
  <sheetData>
    <row r="1" spans="1:10" ht="22.5" x14ac:dyDescent="0.2">
      <c r="A1" s="55" t="s">
        <v>236</v>
      </c>
      <c r="B1" s="55"/>
      <c r="C1" s="55"/>
      <c r="D1" s="55"/>
      <c r="E1" s="55"/>
      <c r="F1" s="55"/>
      <c r="G1" s="55"/>
      <c r="H1" s="55"/>
    </row>
    <row r="2" spans="1:10" ht="71.25" customHeight="1" x14ac:dyDescent="0.2">
      <c r="A2" s="56" t="s">
        <v>264</v>
      </c>
      <c r="B2" s="56"/>
      <c r="C2" s="56"/>
      <c r="D2" s="56"/>
      <c r="E2" s="56"/>
      <c r="F2" s="56"/>
      <c r="G2" s="56"/>
      <c r="H2" s="56"/>
      <c r="I2" s="24"/>
      <c r="J2" s="24"/>
    </row>
    <row r="3" spans="1:10" ht="17.25" customHeight="1" x14ac:dyDescent="0.2">
      <c r="A3" s="57" t="s">
        <v>256</v>
      </c>
      <c r="B3" s="57"/>
      <c r="C3" s="57"/>
      <c r="D3" s="57"/>
      <c r="E3" s="57"/>
      <c r="F3" s="57"/>
      <c r="G3" s="57"/>
      <c r="H3" s="57"/>
    </row>
    <row r="4" spans="1:10" ht="27" customHeight="1" x14ac:dyDescent="0.2">
      <c r="A4" s="6"/>
      <c r="B4" s="62" t="s">
        <v>238</v>
      </c>
      <c r="C4" s="63"/>
      <c r="D4" s="47" t="s">
        <v>239</v>
      </c>
      <c r="E4" s="47"/>
      <c r="F4" s="47"/>
      <c r="G4" s="47" t="s">
        <v>259</v>
      </c>
      <c r="H4" s="47"/>
    </row>
    <row r="5" spans="1:10" ht="49.5" customHeight="1" x14ac:dyDescent="0.2">
      <c r="A5" s="25" t="s">
        <v>0</v>
      </c>
      <c r="B5" s="60" t="s">
        <v>1</v>
      </c>
      <c r="C5" s="61"/>
      <c r="D5" s="15" t="s">
        <v>263</v>
      </c>
      <c r="E5" s="26" t="s">
        <v>2</v>
      </c>
      <c r="F5" s="7" t="s">
        <v>3</v>
      </c>
      <c r="G5" s="8" t="s">
        <v>2</v>
      </c>
      <c r="H5" s="8" t="s">
        <v>3</v>
      </c>
    </row>
    <row r="6" spans="1:10" ht="32.1" customHeight="1" x14ac:dyDescent="0.2">
      <c r="A6" s="4">
        <v>1</v>
      </c>
      <c r="B6" s="51" t="s">
        <v>121</v>
      </c>
      <c r="C6" s="52"/>
      <c r="D6" s="30">
        <v>5000</v>
      </c>
      <c r="E6" s="31">
        <v>1131.6199999999999</v>
      </c>
      <c r="F6" s="31">
        <f>E6*D6</f>
        <v>5658099.9999999991</v>
      </c>
      <c r="G6" s="32">
        <v>1420</v>
      </c>
      <c r="H6" s="33">
        <f>G6*D6</f>
        <v>7100000</v>
      </c>
    </row>
    <row r="7" spans="1:10" ht="32.1" customHeight="1" x14ac:dyDescent="0.2">
      <c r="A7" s="4">
        <v>2</v>
      </c>
      <c r="B7" s="51" t="s">
        <v>122</v>
      </c>
      <c r="C7" s="52"/>
      <c r="D7" s="30">
        <v>2500</v>
      </c>
      <c r="E7" s="31">
        <v>1813.66</v>
      </c>
      <c r="F7" s="31">
        <f t="shared" ref="F7:F16" si="0">E7*D7</f>
        <v>4534150</v>
      </c>
      <c r="G7" s="32">
        <v>1810</v>
      </c>
      <c r="H7" s="33">
        <f t="shared" ref="H7:H16" si="1">G7*D7</f>
        <v>4525000</v>
      </c>
    </row>
    <row r="8" spans="1:10" ht="48.75" customHeight="1" x14ac:dyDescent="0.2">
      <c r="A8" s="4">
        <v>3</v>
      </c>
      <c r="B8" s="64" t="s">
        <v>261</v>
      </c>
      <c r="C8" s="52"/>
      <c r="D8" s="30">
        <v>2500</v>
      </c>
      <c r="E8" s="31">
        <v>978.22</v>
      </c>
      <c r="F8" s="31">
        <f t="shared" si="0"/>
        <v>2445550</v>
      </c>
      <c r="G8" s="32">
        <v>1230</v>
      </c>
      <c r="H8" s="33">
        <f t="shared" si="1"/>
        <v>3075000</v>
      </c>
    </row>
    <row r="9" spans="1:10" ht="32.1" customHeight="1" x14ac:dyDescent="0.2">
      <c r="A9" s="4">
        <v>4</v>
      </c>
      <c r="B9" s="51" t="s">
        <v>123</v>
      </c>
      <c r="C9" s="52"/>
      <c r="D9" s="30">
        <v>10</v>
      </c>
      <c r="E9" s="31">
        <v>765.82</v>
      </c>
      <c r="F9" s="31">
        <f t="shared" si="0"/>
        <v>7658.2000000000007</v>
      </c>
      <c r="G9" s="32">
        <v>4500</v>
      </c>
      <c r="H9" s="33">
        <f t="shared" si="1"/>
        <v>45000</v>
      </c>
    </row>
    <row r="10" spans="1:10" ht="32.1" customHeight="1" x14ac:dyDescent="0.2">
      <c r="A10" s="4">
        <v>5</v>
      </c>
      <c r="B10" s="51" t="s">
        <v>124</v>
      </c>
      <c r="C10" s="52"/>
      <c r="D10" s="30">
        <v>10</v>
      </c>
      <c r="E10" s="31">
        <v>6962</v>
      </c>
      <c r="F10" s="31">
        <f t="shared" si="0"/>
        <v>69620</v>
      </c>
      <c r="G10" s="32">
        <v>3800</v>
      </c>
      <c r="H10" s="33">
        <f t="shared" si="1"/>
        <v>38000</v>
      </c>
    </row>
    <row r="11" spans="1:10" ht="32.1" customHeight="1" x14ac:dyDescent="0.2">
      <c r="A11" s="4">
        <v>6</v>
      </c>
      <c r="B11" s="51" t="s">
        <v>125</v>
      </c>
      <c r="C11" s="52"/>
      <c r="D11" s="30">
        <v>10</v>
      </c>
      <c r="E11" s="31">
        <v>883.82</v>
      </c>
      <c r="F11" s="31">
        <f t="shared" si="0"/>
        <v>8838.2000000000007</v>
      </c>
      <c r="G11" s="32">
        <v>690</v>
      </c>
      <c r="H11" s="33">
        <f t="shared" si="1"/>
        <v>6900</v>
      </c>
    </row>
    <row r="12" spans="1:10" ht="32.1" customHeight="1" x14ac:dyDescent="0.2">
      <c r="A12" s="4">
        <v>7</v>
      </c>
      <c r="B12" s="51" t="s">
        <v>126</v>
      </c>
      <c r="C12" s="52"/>
      <c r="D12" s="30">
        <v>20</v>
      </c>
      <c r="E12" s="31">
        <v>2624.32</v>
      </c>
      <c r="F12" s="31">
        <f t="shared" si="0"/>
        <v>52486.400000000001</v>
      </c>
      <c r="G12" s="32">
        <v>680</v>
      </c>
      <c r="H12" s="33">
        <f t="shared" si="1"/>
        <v>13600</v>
      </c>
    </row>
    <row r="13" spans="1:10" ht="32.1" customHeight="1" x14ac:dyDescent="0.2">
      <c r="A13" s="4">
        <v>8</v>
      </c>
      <c r="B13" s="51" t="s">
        <v>127</v>
      </c>
      <c r="C13" s="52"/>
      <c r="D13" s="30">
        <v>20</v>
      </c>
      <c r="E13" s="31">
        <v>1385.32</v>
      </c>
      <c r="F13" s="31">
        <f t="shared" si="0"/>
        <v>27706.399999999998</v>
      </c>
      <c r="G13" s="32">
        <v>680</v>
      </c>
      <c r="H13" s="33">
        <f t="shared" si="1"/>
        <v>13600</v>
      </c>
    </row>
    <row r="14" spans="1:10" ht="32.1" customHeight="1" x14ac:dyDescent="0.2">
      <c r="A14" s="4">
        <v>9</v>
      </c>
      <c r="B14" s="51" t="s">
        <v>128</v>
      </c>
      <c r="C14" s="52"/>
      <c r="D14" s="30">
        <v>100</v>
      </c>
      <c r="E14" s="31">
        <v>1378.24</v>
      </c>
      <c r="F14" s="31">
        <f t="shared" si="0"/>
        <v>137824</v>
      </c>
      <c r="G14" s="32">
        <v>1480</v>
      </c>
      <c r="H14" s="33">
        <f t="shared" si="1"/>
        <v>148000</v>
      </c>
    </row>
    <row r="15" spans="1:10" ht="32.1" customHeight="1" x14ac:dyDescent="0.2">
      <c r="A15" s="4">
        <v>10</v>
      </c>
      <c r="B15" s="51" t="s">
        <v>129</v>
      </c>
      <c r="C15" s="52"/>
      <c r="D15" s="30">
        <v>15</v>
      </c>
      <c r="E15" s="31">
        <v>354</v>
      </c>
      <c r="F15" s="31">
        <f t="shared" si="0"/>
        <v>5310</v>
      </c>
      <c r="G15" s="32">
        <v>420</v>
      </c>
      <c r="H15" s="33">
        <f t="shared" si="1"/>
        <v>6300</v>
      </c>
    </row>
    <row r="16" spans="1:10" ht="32.1" customHeight="1" x14ac:dyDescent="0.2">
      <c r="A16" s="12">
        <v>11</v>
      </c>
      <c r="B16" s="65" t="s">
        <v>130</v>
      </c>
      <c r="C16" s="66"/>
      <c r="D16" s="34">
        <v>5</v>
      </c>
      <c r="E16" s="35">
        <v>11784.66</v>
      </c>
      <c r="F16" s="35">
        <f t="shared" si="0"/>
        <v>58923.3</v>
      </c>
      <c r="G16" s="36">
        <v>7400</v>
      </c>
      <c r="H16" s="37">
        <f t="shared" si="1"/>
        <v>37000</v>
      </c>
    </row>
    <row r="17" spans="1:10" ht="34.5" customHeight="1" x14ac:dyDescent="0.2">
      <c r="A17" s="69" t="s">
        <v>244</v>
      </c>
      <c r="B17" s="69"/>
      <c r="C17" s="69"/>
      <c r="D17" s="69"/>
      <c r="E17" s="68">
        <f>SUM(F6:F16)</f>
        <v>13006166.5</v>
      </c>
      <c r="F17" s="68"/>
      <c r="G17" s="67">
        <f>SUM(H6:H16)</f>
        <v>15008400</v>
      </c>
      <c r="H17" s="67"/>
    </row>
    <row r="18" spans="1:10" s="18" customFormat="1" ht="32.25" customHeight="1" x14ac:dyDescent="0.25">
      <c r="B18" s="19"/>
      <c r="C18" s="19"/>
    </row>
    <row r="19" spans="1:10" s="18" customFormat="1" ht="45" customHeight="1" x14ac:dyDescent="0.25">
      <c r="B19" s="19"/>
      <c r="C19" s="19"/>
    </row>
    <row r="20" spans="1:10" s="18" customFormat="1" ht="15.75" x14ac:dyDescent="0.25">
      <c r="A20" s="39" t="s">
        <v>245</v>
      </c>
      <c r="B20" s="39"/>
      <c r="C20" s="39"/>
      <c r="D20" s="39" t="s">
        <v>266</v>
      </c>
      <c r="E20" s="39"/>
      <c r="F20" s="39"/>
      <c r="G20" s="39" t="s">
        <v>246</v>
      </c>
      <c r="H20" s="39"/>
      <c r="I20" s="20"/>
      <c r="J20" s="20"/>
    </row>
    <row r="21" spans="1:10" s="18" customFormat="1" ht="15.75" x14ac:dyDescent="0.25">
      <c r="A21" s="40" t="s">
        <v>247</v>
      </c>
      <c r="B21" s="40"/>
      <c r="C21" s="40"/>
      <c r="D21" s="41" t="s">
        <v>248</v>
      </c>
      <c r="E21" s="41"/>
      <c r="F21" s="41"/>
      <c r="G21" s="41" t="s">
        <v>247</v>
      </c>
      <c r="H21" s="41"/>
      <c r="I21" s="21"/>
      <c r="J21" s="21"/>
    </row>
    <row r="22" spans="1:10" s="18" customFormat="1" ht="15" customHeight="1" x14ac:dyDescent="0.25">
      <c r="A22" s="40" t="s">
        <v>249</v>
      </c>
      <c r="B22" s="40"/>
      <c r="C22" s="40"/>
      <c r="D22" s="40" t="s">
        <v>249</v>
      </c>
      <c r="E22" s="40"/>
      <c r="F22" s="40"/>
      <c r="G22" s="40" t="s">
        <v>249</v>
      </c>
      <c r="H22" s="40"/>
      <c r="I22" s="22"/>
      <c r="J22" s="22"/>
    </row>
    <row r="23" spans="1:10" s="18" customFormat="1" ht="58.5" customHeight="1" x14ac:dyDescent="0.25">
      <c r="B23" s="19"/>
      <c r="C23" s="19"/>
    </row>
    <row r="24" spans="1:10" s="18" customFormat="1" ht="15.75" x14ac:dyDescent="0.25">
      <c r="B24" s="19"/>
      <c r="C24" s="19"/>
    </row>
    <row r="25" spans="1:10" s="18" customFormat="1" ht="15.75" x14ac:dyDescent="0.25">
      <c r="A25" s="39" t="s">
        <v>250</v>
      </c>
      <c r="B25" s="39"/>
      <c r="C25" s="39"/>
      <c r="D25" s="39"/>
      <c r="E25" s="20"/>
      <c r="F25" s="39" t="s">
        <v>251</v>
      </c>
      <c r="G25" s="39"/>
      <c r="H25" s="39"/>
      <c r="I25" s="20"/>
      <c r="J25" s="20"/>
    </row>
    <row r="26" spans="1:10" s="18" customFormat="1" ht="15.75" x14ac:dyDescent="0.25">
      <c r="A26" s="41" t="s">
        <v>252</v>
      </c>
      <c r="B26" s="41"/>
      <c r="C26" s="41"/>
      <c r="D26" s="41"/>
      <c r="E26" s="21"/>
      <c r="F26" s="41" t="s">
        <v>253</v>
      </c>
      <c r="G26" s="41"/>
      <c r="H26" s="41"/>
      <c r="I26" s="21"/>
      <c r="J26" s="21"/>
    </row>
    <row r="27" spans="1:10" s="18" customFormat="1" ht="15.75" x14ac:dyDescent="0.25">
      <c r="A27" s="40" t="s">
        <v>249</v>
      </c>
      <c r="B27" s="40"/>
      <c r="C27" s="40"/>
      <c r="D27" s="40"/>
      <c r="E27" s="22"/>
      <c r="F27" s="40" t="s">
        <v>249</v>
      </c>
      <c r="G27" s="40"/>
      <c r="H27" s="40"/>
      <c r="I27" s="22"/>
      <c r="J27" s="22"/>
    </row>
    <row r="28" spans="1:10" s="18" customFormat="1" ht="15.75" x14ac:dyDescent="0.25">
      <c r="A28" s="22"/>
      <c r="B28" s="22"/>
      <c r="C28" s="19"/>
      <c r="E28" s="22"/>
      <c r="F28" s="22"/>
      <c r="H28" s="22"/>
      <c r="I28" s="22"/>
    </row>
    <row r="29" spans="1:10" s="18" customFormat="1" ht="15.75" x14ac:dyDescent="0.25">
      <c r="A29" s="39" t="s">
        <v>254</v>
      </c>
      <c r="B29" s="39"/>
      <c r="C29" s="39"/>
      <c r="D29" s="39"/>
      <c r="E29" s="39"/>
      <c r="F29" s="39"/>
      <c r="G29" s="39"/>
      <c r="H29" s="39"/>
      <c r="I29" s="20"/>
      <c r="J29" s="20"/>
    </row>
    <row r="30" spans="1:10" s="18" customFormat="1" ht="15.75" x14ac:dyDescent="0.25">
      <c r="A30" s="41" t="s">
        <v>255</v>
      </c>
      <c r="B30" s="41"/>
      <c r="C30" s="41"/>
      <c r="D30" s="41"/>
      <c r="E30" s="41"/>
      <c r="F30" s="41"/>
      <c r="G30" s="41"/>
      <c r="H30" s="41"/>
      <c r="I30" s="21"/>
      <c r="J30" s="21"/>
    </row>
    <row r="31" spans="1:10" s="18" customFormat="1" ht="15.75" x14ac:dyDescent="0.25">
      <c r="A31" s="40" t="s">
        <v>265</v>
      </c>
      <c r="B31" s="40"/>
      <c r="C31" s="40"/>
      <c r="D31" s="40"/>
      <c r="E31" s="40"/>
      <c r="F31" s="40"/>
      <c r="G31" s="40"/>
      <c r="H31" s="40"/>
      <c r="I31" s="22"/>
      <c r="J31" s="22"/>
    </row>
  </sheetData>
  <mergeCells count="39">
    <mergeCell ref="A31:H31"/>
    <mergeCell ref="G20:H20"/>
    <mergeCell ref="G21:H21"/>
    <mergeCell ref="G22:H22"/>
    <mergeCell ref="F25:H25"/>
    <mergeCell ref="F26:H26"/>
    <mergeCell ref="F27:H27"/>
    <mergeCell ref="D20:F20"/>
    <mergeCell ref="D21:F21"/>
    <mergeCell ref="D22:F22"/>
    <mergeCell ref="A25:D25"/>
    <mergeCell ref="A26:D26"/>
    <mergeCell ref="A27:D27"/>
    <mergeCell ref="A29:H29"/>
    <mergeCell ref="A30:H30"/>
    <mergeCell ref="A22:C22"/>
    <mergeCell ref="A20:C20"/>
    <mergeCell ref="A21:C21"/>
    <mergeCell ref="B16:C16"/>
    <mergeCell ref="G17:H17"/>
    <mergeCell ref="E17:F17"/>
    <mergeCell ref="A17:D17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5:C5"/>
    <mergeCell ref="A1:H1"/>
    <mergeCell ref="A2:H2"/>
    <mergeCell ref="A3:H3"/>
    <mergeCell ref="B4:C4"/>
    <mergeCell ref="D4:F4"/>
    <mergeCell ref="G4:H4"/>
  </mergeCells>
  <printOptions horizontalCentered="1"/>
  <pageMargins left="0.11811023622047245" right="0.11811023622047245" top="0.74803149606299213" bottom="0.74803149606299213" header="0.31496062992125984" footer="0.31496062992125984"/>
  <pageSetup paperSize="9" scale="8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view="pageBreakPreview" zoomScale="60" zoomScaleNormal="100" workbookViewId="0">
      <selection activeCell="A30" sqref="A1:H30"/>
    </sheetView>
  </sheetViews>
  <sheetFormatPr defaultRowHeight="12.75" x14ac:dyDescent="0.2"/>
  <cols>
    <col min="1" max="1" width="5.6640625" customWidth="1"/>
    <col min="2" max="2" width="4" customWidth="1"/>
    <col min="3" max="3" width="38" customWidth="1"/>
    <col min="4" max="4" width="12.33203125" customWidth="1"/>
    <col min="5" max="5" width="12.1640625" customWidth="1"/>
    <col min="6" max="6" width="15.83203125" customWidth="1"/>
    <col min="7" max="7" width="11.83203125" customWidth="1"/>
    <col min="8" max="8" width="17.6640625" customWidth="1"/>
  </cols>
  <sheetData>
    <row r="1" spans="1:8" ht="22.5" x14ac:dyDescent="0.2">
      <c r="A1" s="55" t="s">
        <v>236</v>
      </c>
      <c r="B1" s="55"/>
      <c r="C1" s="55"/>
      <c r="D1" s="55"/>
      <c r="E1" s="55"/>
      <c r="F1" s="55"/>
      <c r="G1" s="55"/>
      <c r="H1" s="55"/>
    </row>
    <row r="2" spans="1:8" ht="67.5" customHeight="1" x14ac:dyDescent="0.2">
      <c r="A2" s="56" t="s">
        <v>264</v>
      </c>
      <c r="B2" s="56"/>
      <c r="C2" s="56"/>
      <c r="D2" s="56"/>
      <c r="E2" s="56"/>
      <c r="F2" s="56"/>
      <c r="G2" s="56"/>
      <c r="H2" s="56"/>
    </row>
    <row r="3" spans="1:8" ht="17.25" customHeight="1" x14ac:dyDescent="0.2">
      <c r="A3" s="57" t="s">
        <v>257</v>
      </c>
      <c r="B3" s="57"/>
      <c r="C3" s="57"/>
      <c r="D3" s="57"/>
      <c r="E3" s="57"/>
      <c r="F3" s="57"/>
      <c r="G3" s="57"/>
      <c r="H3" s="57"/>
    </row>
    <row r="4" spans="1:8" ht="25.5" customHeight="1" x14ac:dyDescent="0.2">
      <c r="A4" s="14"/>
      <c r="B4" s="70" t="s">
        <v>238</v>
      </c>
      <c r="C4" s="70"/>
      <c r="D4" s="71" t="s">
        <v>239</v>
      </c>
      <c r="E4" s="71"/>
      <c r="F4" s="71"/>
      <c r="G4" s="71" t="s">
        <v>260</v>
      </c>
      <c r="H4" s="71"/>
    </row>
    <row r="5" spans="1:8" ht="49.5" customHeight="1" x14ac:dyDescent="0.2">
      <c r="A5" s="25" t="s">
        <v>0</v>
      </c>
      <c r="B5" s="58" t="s">
        <v>1</v>
      </c>
      <c r="C5" s="59"/>
      <c r="D5" s="15" t="s">
        <v>262</v>
      </c>
      <c r="E5" s="26" t="s">
        <v>2</v>
      </c>
      <c r="F5" s="7" t="s">
        <v>3</v>
      </c>
      <c r="G5" s="8" t="s">
        <v>2</v>
      </c>
      <c r="H5" s="8" t="s">
        <v>3</v>
      </c>
    </row>
    <row r="6" spans="1:8" ht="32.1" customHeight="1" x14ac:dyDescent="0.2">
      <c r="A6" s="4">
        <v>1</v>
      </c>
      <c r="B6" s="53" t="s">
        <v>131</v>
      </c>
      <c r="C6" s="54"/>
      <c r="D6" s="9">
        <v>45</v>
      </c>
      <c r="E6" s="31">
        <v>2347.02</v>
      </c>
      <c r="F6" s="31">
        <f>E6*D6</f>
        <v>105615.9</v>
      </c>
      <c r="G6" s="32">
        <v>2470</v>
      </c>
      <c r="H6" s="33">
        <f>G6*D6</f>
        <v>111150</v>
      </c>
    </row>
    <row r="7" spans="1:8" ht="32.1" customHeight="1" x14ac:dyDescent="0.2">
      <c r="A7" s="4">
        <v>2</v>
      </c>
      <c r="B7" s="53" t="s">
        <v>132</v>
      </c>
      <c r="C7" s="54"/>
      <c r="D7" s="9">
        <v>10</v>
      </c>
      <c r="E7" s="31">
        <v>2647.92</v>
      </c>
      <c r="F7" s="31">
        <f t="shared" ref="F7:F15" si="0">E7*D7</f>
        <v>26479.200000000001</v>
      </c>
      <c r="G7" s="32">
        <v>1690</v>
      </c>
      <c r="H7" s="33">
        <f t="shared" ref="H7:H15" si="1">G7*D7</f>
        <v>16900</v>
      </c>
    </row>
    <row r="8" spans="1:8" ht="32.1" customHeight="1" x14ac:dyDescent="0.2">
      <c r="A8" s="4">
        <v>3</v>
      </c>
      <c r="B8" s="53" t="s">
        <v>133</v>
      </c>
      <c r="C8" s="54"/>
      <c r="D8" s="9">
        <v>10</v>
      </c>
      <c r="E8" s="31">
        <v>2675.06</v>
      </c>
      <c r="F8" s="31">
        <f t="shared" si="0"/>
        <v>26750.6</v>
      </c>
      <c r="G8" s="32">
        <v>2150</v>
      </c>
      <c r="H8" s="33">
        <f t="shared" si="1"/>
        <v>21500</v>
      </c>
    </row>
    <row r="9" spans="1:8" ht="32.1" customHeight="1" x14ac:dyDescent="0.2">
      <c r="A9" s="4">
        <v>4</v>
      </c>
      <c r="B9" s="53" t="s">
        <v>134</v>
      </c>
      <c r="C9" s="54"/>
      <c r="D9" s="9">
        <v>175</v>
      </c>
      <c r="E9" s="31">
        <v>6317.72</v>
      </c>
      <c r="F9" s="31">
        <f t="shared" si="0"/>
        <v>1105601</v>
      </c>
      <c r="G9" s="32">
        <v>9900</v>
      </c>
      <c r="H9" s="33">
        <f t="shared" si="1"/>
        <v>1732500</v>
      </c>
    </row>
    <row r="10" spans="1:8" ht="32.1" customHeight="1" x14ac:dyDescent="0.2">
      <c r="A10" s="4">
        <v>5</v>
      </c>
      <c r="B10" s="51" t="s">
        <v>135</v>
      </c>
      <c r="C10" s="52"/>
      <c r="D10" s="9">
        <v>10</v>
      </c>
      <c r="E10" s="31">
        <v>4246.82</v>
      </c>
      <c r="F10" s="31">
        <f t="shared" si="0"/>
        <v>42468.2</v>
      </c>
      <c r="G10" s="32">
        <v>1650</v>
      </c>
      <c r="H10" s="33">
        <f t="shared" si="1"/>
        <v>16500</v>
      </c>
    </row>
    <row r="11" spans="1:8" ht="32.1" customHeight="1" x14ac:dyDescent="0.2">
      <c r="A11" s="4">
        <v>6</v>
      </c>
      <c r="B11" s="51" t="s">
        <v>136</v>
      </c>
      <c r="C11" s="52"/>
      <c r="D11" s="9">
        <v>150</v>
      </c>
      <c r="E11" s="31">
        <v>683.22</v>
      </c>
      <c r="F11" s="31">
        <f t="shared" si="0"/>
        <v>102483</v>
      </c>
      <c r="G11" s="32">
        <v>320</v>
      </c>
      <c r="H11" s="33">
        <f t="shared" si="1"/>
        <v>48000</v>
      </c>
    </row>
    <row r="12" spans="1:8" ht="32.1" customHeight="1" x14ac:dyDescent="0.2">
      <c r="A12" s="4">
        <v>7</v>
      </c>
      <c r="B12" s="51" t="s">
        <v>137</v>
      </c>
      <c r="C12" s="52"/>
      <c r="D12" s="9">
        <v>150</v>
      </c>
      <c r="E12" s="31">
        <v>801.22</v>
      </c>
      <c r="F12" s="31">
        <f t="shared" si="0"/>
        <v>120183</v>
      </c>
      <c r="G12" s="32">
        <v>620</v>
      </c>
      <c r="H12" s="33">
        <f t="shared" si="1"/>
        <v>93000</v>
      </c>
    </row>
    <row r="13" spans="1:8" ht="32.1" customHeight="1" x14ac:dyDescent="0.2">
      <c r="A13" s="4">
        <v>8</v>
      </c>
      <c r="B13" s="51" t="s">
        <v>138</v>
      </c>
      <c r="C13" s="52"/>
      <c r="D13" s="9">
        <v>150</v>
      </c>
      <c r="E13" s="31">
        <v>972.32</v>
      </c>
      <c r="F13" s="31">
        <f t="shared" si="0"/>
        <v>145848</v>
      </c>
      <c r="G13" s="32">
        <v>740</v>
      </c>
      <c r="H13" s="33">
        <f t="shared" si="1"/>
        <v>111000</v>
      </c>
    </row>
    <row r="14" spans="1:8" ht="32.1" customHeight="1" x14ac:dyDescent="0.2">
      <c r="A14" s="4">
        <v>9</v>
      </c>
      <c r="B14" s="51" t="s">
        <v>139</v>
      </c>
      <c r="C14" s="52"/>
      <c r="D14" s="9">
        <v>100</v>
      </c>
      <c r="E14" s="31">
        <v>1090.32</v>
      </c>
      <c r="F14" s="31">
        <f t="shared" si="0"/>
        <v>109032</v>
      </c>
      <c r="G14" s="32">
        <v>798</v>
      </c>
      <c r="H14" s="33">
        <f t="shared" si="1"/>
        <v>79800</v>
      </c>
    </row>
    <row r="15" spans="1:8" ht="32.1" customHeight="1" x14ac:dyDescent="0.2">
      <c r="A15" s="12">
        <v>10</v>
      </c>
      <c r="B15" s="73" t="s">
        <v>140</v>
      </c>
      <c r="C15" s="74"/>
      <c r="D15" s="13">
        <v>10</v>
      </c>
      <c r="E15" s="35">
        <v>23010</v>
      </c>
      <c r="F15" s="35">
        <f t="shared" si="0"/>
        <v>230100</v>
      </c>
      <c r="G15" s="36">
        <v>24000</v>
      </c>
      <c r="H15" s="37">
        <f t="shared" si="1"/>
        <v>240000</v>
      </c>
    </row>
    <row r="16" spans="1:8" ht="32.25" customHeight="1" x14ac:dyDescent="0.2">
      <c r="A16" s="72" t="s">
        <v>244</v>
      </c>
      <c r="B16" s="72"/>
      <c r="C16" s="72"/>
      <c r="D16" s="72"/>
      <c r="E16" s="68">
        <f>SUM(F6:F15)</f>
        <v>2014560.9</v>
      </c>
      <c r="F16" s="68"/>
      <c r="G16" s="67">
        <f>SUM(H6:H15)</f>
        <v>2470350</v>
      </c>
      <c r="H16" s="67"/>
    </row>
    <row r="17" spans="1:10" s="18" customFormat="1" ht="32.25" customHeight="1" x14ac:dyDescent="0.25">
      <c r="B17" s="19"/>
      <c r="C17" s="19"/>
    </row>
    <row r="18" spans="1:10" s="18" customFormat="1" ht="54.75" customHeight="1" x14ac:dyDescent="0.25">
      <c r="B18" s="19"/>
      <c r="C18" s="19"/>
    </row>
    <row r="19" spans="1:10" s="18" customFormat="1" ht="15.75" x14ac:dyDescent="0.25">
      <c r="A19" s="39" t="s">
        <v>245</v>
      </c>
      <c r="B19" s="39"/>
      <c r="C19" s="39"/>
      <c r="D19" s="39" t="s">
        <v>266</v>
      </c>
      <c r="E19" s="39"/>
      <c r="F19" s="39"/>
      <c r="G19" s="39" t="s">
        <v>246</v>
      </c>
      <c r="H19" s="39"/>
      <c r="I19" s="20"/>
      <c r="J19" s="20"/>
    </row>
    <row r="20" spans="1:10" s="18" customFormat="1" ht="15.75" x14ac:dyDescent="0.25">
      <c r="A20" s="40" t="s">
        <v>247</v>
      </c>
      <c r="B20" s="40"/>
      <c r="C20" s="40"/>
      <c r="D20" s="41" t="s">
        <v>248</v>
      </c>
      <c r="E20" s="41"/>
      <c r="F20" s="41"/>
      <c r="G20" s="41" t="s">
        <v>247</v>
      </c>
      <c r="H20" s="41"/>
      <c r="I20" s="21"/>
      <c r="J20" s="21"/>
    </row>
    <row r="21" spans="1:10" s="18" customFormat="1" ht="15" customHeight="1" x14ac:dyDescent="0.25">
      <c r="A21" s="40" t="s">
        <v>249</v>
      </c>
      <c r="B21" s="40"/>
      <c r="C21" s="40"/>
      <c r="D21" s="40" t="s">
        <v>249</v>
      </c>
      <c r="E21" s="40"/>
      <c r="F21" s="40"/>
      <c r="G21" s="40" t="s">
        <v>249</v>
      </c>
      <c r="H21" s="40"/>
      <c r="I21" s="22"/>
      <c r="J21" s="22"/>
    </row>
    <row r="22" spans="1:10" s="18" customFormat="1" ht="63.75" customHeight="1" x14ac:dyDescent="0.25">
      <c r="B22" s="19"/>
      <c r="C22" s="19"/>
    </row>
    <row r="23" spans="1:10" s="18" customFormat="1" ht="15.75" x14ac:dyDescent="0.25">
      <c r="B23" s="19"/>
      <c r="C23" s="19"/>
    </row>
    <row r="24" spans="1:10" s="18" customFormat="1" ht="15.75" x14ac:dyDescent="0.25">
      <c r="A24" s="39" t="s">
        <v>250</v>
      </c>
      <c r="B24" s="39"/>
      <c r="C24" s="39"/>
      <c r="D24" s="39"/>
      <c r="E24" s="20"/>
      <c r="F24" s="39" t="s">
        <v>251</v>
      </c>
      <c r="G24" s="39"/>
      <c r="H24" s="39"/>
      <c r="I24" s="20"/>
      <c r="J24" s="20"/>
    </row>
    <row r="25" spans="1:10" s="18" customFormat="1" ht="15.75" x14ac:dyDescent="0.25">
      <c r="A25" s="41" t="s">
        <v>252</v>
      </c>
      <c r="B25" s="41"/>
      <c r="C25" s="41"/>
      <c r="D25" s="41"/>
      <c r="E25" s="21"/>
      <c r="F25" s="41" t="s">
        <v>253</v>
      </c>
      <c r="G25" s="41"/>
      <c r="H25" s="41"/>
      <c r="I25" s="21"/>
      <c r="J25" s="21"/>
    </row>
    <row r="26" spans="1:10" s="18" customFormat="1" ht="15.75" x14ac:dyDescent="0.25">
      <c r="A26" s="40" t="s">
        <v>249</v>
      </c>
      <c r="B26" s="40"/>
      <c r="C26" s="40"/>
      <c r="D26" s="40"/>
      <c r="E26" s="22"/>
      <c r="F26" s="40" t="s">
        <v>249</v>
      </c>
      <c r="G26" s="40"/>
      <c r="H26" s="40"/>
      <c r="I26" s="22"/>
      <c r="J26" s="22"/>
    </row>
    <row r="27" spans="1:10" s="18" customFormat="1" ht="15.75" x14ac:dyDescent="0.25">
      <c r="A27" s="22"/>
      <c r="B27" s="22"/>
      <c r="C27" s="19"/>
      <c r="E27" s="22"/>
      <c r="F27" s="22"/>
      <c r="H27" s="22"/>
      <c r="I27" s="22"/>
    </row>
    <row r="28" spans="1:10" s="18" customFormat="1" ht="15.75" x14ac:dyDescent="0.25">
      <c r="A28" s="39" t="s">
        <v>254</v>
      </c>
      <c r="B28" s="39"/>
      <c r="C28" s="39"/>
      <c r="D28" s="39"/>
      <c r="E28" s="39"/>
      <c r="F28" s="39"/>
      <c r="G28" s="39"/>
      <c r="H28" s="39"/>
      <c r="I28" s="20"/>
      <c r="J28" s="20"/>
    </row>
    <row r="29" spans="1:10" s="18" customFormat="1" ht="15.75" x14ac:dyDescent="0.25">
      <c r="A29" s="41" t="s">
        <v>255</v>
      </c>
      <c r="B29" s="41"/>
      <c r="C29" s="41"/>
      <c r="D29" s="41"/>
      <c r="E29" s="41"/>
      <c r="F29" s="41"/>
      <c r="G29" s="41"/>
      <c r="H29" s="41"/>
      <c r="I29" s="21"/>
      <c r="J29" s="21"/>
    </row>
    <row r="30" spans="1:10" s="18" customFormat="1" ht="15.75" x14ac:dyDescent="0.25">
      <c r="A30" s="40" t="s">
        <v>265</v>
      </c>
      <c r="B30" s="40"/>
      <c r="C30" s="40"/>
      <c r="D30" s="40"/>
      <c r="E30" s="40"/>
      <c r="F30" s="40"/>
      <c r="G30" s="40"/>
      <c r="H30" s="40"/>
      <c r="I30" s="22"/>
      <c r="J30" s="22"/>
    </row>
  </sheetData>
  <mergeCells count="38">
    <mergeCell ref="A29:H29"/>
    <mergeCell ref="A30:H30"/>
    <mergeCell ref="A25:D25"/>
    <mergeCell ref="F25:H25"/>
    <mergeCell ref="A26:D26"/>
    <mergeCell ref="F26:H26"/>
    <mergeCell ref="A28:H28"/>
    <mergeCell ref="A21:C21"/>
    <mergeCell ref="D21:F21"/>
    <mergeCell ref="G21:H21"/>
    <mergeCell ref="A24:D24"/>
    <mergeCell ref="F24:H24"/>
    <mergeCell ref="A19:C19"/>
    <mergeCell ref="D19:F19"/>
    <mergeCell ref="G19:H19"/>
    <mergeCell ref="A20:C20"/>
    <mergeCell ref="D20:F20"/>
    <mergeCell ref="G20:H20"/>
    <mergeCell ref="A16:D16"/>
    <mergeCell ref="E16:F16"/>
    <mergeCell ref="G16:H16"/>
    <mergeCell ref="B6:C6"/>
    <mergeCell ref="B7:C7"/>
    <mergeCell ref="B13:C13"/>
    <mergeCell ref="B14:C14"/>
    <mergeCell ref="B15:C15"/>
    <mergeCell ref="B8:C8"/>
    <mergeCell ref="B9:C9"/>
    <mergeCell ref="B10:C10"/>
    <mergeCell ref="B11:C11"/>
    <mergeCell ref="B12:C12"/>
    <mergeCell ref="B5:C5"/>
    <mergeCell ref="A1:H1"/>
    <mergeCell ref="A2:H2"/>
    <mergeCell ref="A3:H3"/>
    <mergeCell ref="B4:C4"/>
    <mergeCell ref="D4:F4"/>
    <mergeCell ref="G4:H4"/>
  </mergeCells>
  <printOptions horizontalCentered="1"/>
  <pageMargins left="0.31496062992125984" right="0.31496062992125984" top="0.55118110236220474" bottom="0.55118110236220474" header="0.31496062992125984" footer="0.31496062992125984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"/>
  <sheetViews>
    <sheetView tabSelected="1" view="pageBreakPreview" topLeftCell="A94" zoomScale="60" zoomScaleNormal="100" workbookViewId="0">
      <selection activeCell="A115" sqref="A1:J115"/>
    </sheetView>
  </sheetViews>
  <sheetFormatPr defaultRowHeight="12.75" x14ac:dyDescent="0.2"/>
  <cols>
    <col min="1" max="1" width="6.1640625" customWidth="1"/>
    <col min="2" max="2" width="5.83203125" customWidth="1"/>
    <col min="3" max="3" width="46" customWidth="1"/>
    <col min="4" max="4" width="11.6640625" customWidth="1"/>
    <col min="5" max="5" width="12.1640625" customWidth="1"/>
    <col min="6" max="6" width="16" customWidth="1"/>
    <col min="7" max="7" width="12.1640625" customWidth="1"/>
    <col min="8" max="8" width="17.33203125" customWidth="1"/>
    <col min="9" max="9" width="14.33203125" customWidth="1"/>
    <col min="10" max="10" width="19.1640625" customWidth="1"/>
  </cols>
  <sheetData>
    <row r="1" spans="1:13" ht="22.5" x14ac:dyDescent="0.2">
      <c r="A1" s="55" t="s">
        <v>236</v>
      </c>
      <c r="B1" s="55"/>
      <c r="C1" s="55"/>
      <c r="D1" s="55"/>
      <c r="E1" s="55"/>
      <c r="F1" s="55"/>
      <c r="G1" s="55"/>
      <c r="H1" s="55"/>
      <c r="I1" s="55"/>
      <c r="J1" s="55"/>
    </row>
    <row r="2" spans="1:13" ht="38.25" customHeight="1" x14ac:dyDescent="0.2">
      <c r="A2" s="56" t="s">
        <v>235</v>
      </c>
      <c r="B2" s="56"/>
      <c r="C2" s="56"/>
      <c r="D2" s="56"/>
      <c r="E2" s="56"/>
      <c r="F2" s="56"/>
      <c r="G2" s="56"/>
      <c r="H2" s="56"/>
      <c r="I2" s="56"/>
      <c r="J2" s="56"/>
    </row>
    <row r="3" spans="1:13" ht="17.25" customHeight="1" x14ac:dyDescent="0.2">
      <c r="A3" s="57" t="s">
        <v>258</v>
      </c>
      <c r="B3" s="57"/>
      <c r="C3" s="57"/>
      <c r="D3" s="57"/>
      <c r="E3" s="57"/>
      <c r="F3" s="57"/>
      <c r="G3" s="57"/>
      <c r="H3" s="57"/>
      <c r="I3" s="57"/>
      <c r="J3" s="57"/>
    </row>
    <row r="4" spans="1:13" ht="17.25" customHeight="1" x14ac:dyDescent="0.2">
      <c r="A4" s="50"/>
      <c r="B4" s="49" t="s">
        <v>238</v>
      </c>
      <c r="C4" s="49"/>
      <c r="D4" s="48" t="s">
        <v>239</v>
      </c>
      <c r="E4" s="48"/>
      <c r="F4" s="48"/>
      <c r="G4" s="48" t="s">
        <v>240</v>
      </c>
      <c r="H4" s="48"/>
      <c r="I4" s="48" t="s">
        <v>241</v>
      </c>
      <c r="J4" s="48"/>
    </row>
    <row r="5" spans="1:13" ht="17.25" customHeight="1" x14ac:dyDescent="0.2">
      <c r="A5" s="50"/>
      <c r="B5" s="49"/>
      <c r="C5" s="49"/>
      <c r="D5" s="48" t="s">
        <v>242</v>
      </c>
      <c r="E5" s="48"/>
      <c r="F5" s="48"/>
      <c r="G5" s="48" t="s">
        <v>243</v>
      </c>
      <c r="H5" s="48"/>
      <c r="I5" s="48" t="s">
        <v>243</v>
      </c>
      <c r="J5" s="48"/>
    </row>
    <row r="6" spans="1:13" ht="49.5" customHeight="1" x14ac:dyDescent="0.2">
      <c r="A6" s="25" t="s">
        <v>0</v>
      </c>
      <c r="B6" s="58" t="s">
        <v>1</v>
      </c>
      <c r="C6" s="59"/>
      <c r="D6" s="15" t="s">
        <v>262</v>
      </c>
      <c r="E6" s="26" t="s">
        <v>2</v>
      </c>
      <c r="F6" s="7" t="s">
        <v>3</v>
      </c>
      <c r="G6" s="8" t="s">
        <v>2</v>
      </c>
      <c r="H6" s="8" t="s">
        <v>3</v>
      </c>
      <c r="I6" s="8" t="s">
        <v>2</v>
      </c>
      <c r="J6" s="8" t="s">
        <v>3</v>
      </c>
    </row>
    <row r="7" spans="1:13" ht="32.1" customHeight="1" x14ac:dyDescent="0.2">
      <c r="A7" s="5">
        <v>1</v>
      </c>
      <c r="B7" s="53" t="s">
        <v>141</v>
      </c>
      <c r="C7" s="54"/>
      <c r="D7" s="9">
        <v>20</v>
      </c>
      <c r="E7" s="31">
        <v>877.92</v>
      </c>
      <c r="F7" s="31">
        <f>E7*D7</f>
        <v>17558.399999999998</v>
      </c>
      <c r="G7" s="32">
        <f>M7*0.18+M7</f>
        <v>985.3</v>
      </c>
      <c r="H7" s="33">
        <f>G7*D7</f>
        <v>19706</v>
      </c>
      <c r="I7" s="33">
        <v>896.8</v>
      </c>
      <c r="J7" s="33">
        <f>I7*D7</f>
        <v>17936</v>
      </c>
      <c r="M7">
        <v>835</v>
      </c>
    </row>
    <row r="8" spans="1:13" ht="32.1" customHeight="1" x14ac:dyDescent="0.2">
      <c r="A8" s="5">
        <v>2</v>
      </c>
      <c r="B8" s="51" t="s">
        <v>142</v>
      </c>
      <c r="C8" s="52"/>
      <c r="D8" s="9">
        <v>10</v>
      </c>
      <c r="E8" s="31">
        <v>1475</v>
      </c>
      <c r="F8" s="31">
        <f t="shared" ref="F8:F71" si="0">E8*D8</f>
        <v>14750</v>
      </c>
      <c r="G8" s="32">
        <f t="shared" ref="G8:G71" si="1">M8*0.18+M8</f>
        <v>1646.1</v>
      </c>
      <c r="H8" s="33">
        <f t="shared" ref="H8:H71" si="2">G8*D8</f>
        <v>16461</v>
      </c>
      <c r="I8" s="33">
        <v>1486.8</v>
      </c>
      <c r="J8" s="33">
        <f t="shared" ref="J8:J71" si="3">I8*D8</f>
        <v>14868</v>
      </c>
      <c r="M8">
        <v>1395</v>
      </c>
    </row>
    <row r="9" spans="1:13" ht="32.1" customHeight="1" x14ac:dyDescent="0.2">
      <c r="A9" s="5">
        <v>3</v>
      </c>
      <c r="B9" s="53" t="s">
        <v>143</v>
      </c>
      <c r="C9" s="54"/>
      <c r="D9" s="9">
        <v>10</v>
      </c>
      <c r="E9" s="31">
        <v>194.7</v>
      </c>
      <c r="F9" s="31">
        <f t="shared" si="0"/>
        <v>1947</v>
      </c>
      <c r="G9" s="32">
        <f t="shared" si="1"/>
        <v>221.84</v>
      </c>
      <c r="H9" s="33">
        <f t="shared" si="2"/>
        <v>2218.4</v>
      </c>
      <c r="I9" s="33">
        <v>198.24</v>
      </c>
      <c r="J9" s="33">
        <f t="shared" si="3"/>
        <v>1982.4</v>
      </c>
      <c r="M9">
        <v>188</v>
      </c>
    </row>
    <row r="10" spans="1:13" ht="32.1" customHeight="1" x14ac:dyDescent="0.2">
      <c r="A10" s="5">
        <v>4</v>
      </c>
      <c r="B10" s="53" t="s">
        <v>144</v>
      </c>
      <c r="C10" s="54"/>
      <c r="D10" s="10">
        <v>1500</v>
      </c>
      <c r="E10" s="31">
        <v>33.04</v>
      </c>
      <c r="F10" s="31">
        <f t="shared" si="0"/>
        <v>49560</v>
      </c>
      <c r="G10" s="32">
        <f t="shared" si="1"/>
        <v>40.119999999999997</v>
      </c>
      <c r="H10" s="33">
        <f t="shared" si="2"/>
        <v>60179.999999999993</v>
      </c>
      <c r="I10" s="33">
        <v>35.4</v>
      </c>
      <c r="J10" s="33">
        <f t="shared" si="3"/>
        <v>53100</v>
      </c>
      <c r="M10">
        <v>34</v>
      </c>
    </row>
    <row r="11" spans="1:13" ht="32.1" customHeight="1" x14ac:dyDescent="0.2">
      <c r="A11" s="5">
        <v>5</v>
      </c>
      <c r="B11" s="53" t="s">
        <v>145</v>
      </c>
      <c r="C11" s="54"/>
      <c r="D11" s="10">
        <v>1500</v>
      </c>
      <c r="E11" s="31">
        <v>33.04</v>
      </c>
      <c r="F11" s="31">
        <f t="shared" si="0"/>
        <v>49560</v>
      </c>
      <c r="G11" s="32">
        <f t="shared" si="1"/>
        <v>40.119999999999997</v>
      </c>
      <c r="H11" s="33">
        <f t="shared" si="2"/>
        <v>60179.999999999993</v>
      </c>
      <c r="I11" s="33">
        <v>35.4</v>
      </c>
      <c r="J11" s="33">
        <f t="shared" si="3"/>
        <v>53100</v>
      </c>
      <c r="M11">
        <v>34</v>
      </c>
    </row>
    <row r="12" spans="1:13" ht="32.1" customHeight="1" x14ac:dyDescent="0.2">
      <c r="A12" s="5">
        <v>6</v>
      </c>
      <c r="B12" s="53" t="s">
        <v>146</v>
      </c>
      <c r="C12" s="54"/>
      <c r="D12" s="9">
        <v>50</v>
      </c>
      <c r="E12" s="31">
        <v>132.16</v>
      </c>
      <c r="F12" s="31">
        <f t="shared" si="0"/>
        <v>6608</v>
      </c>
      <c r="G12" s="32">
        <f t="shared" si="1"/>
        <v>155.76</v>
      </c>
      <c r="H12" s="33">
        <f t="shared" si="2"/>
        <v>7788</v>
      </c>
      <c r="I12" s="33">
        <v>135.69999999999999</v>
      </c>
      <c r="J12" s="33">
        <f t="shared" si="3"/>
        <v>6784.9999999999991</v>
      </c>
      <c r="M12">
        <v>132</v>
      </c>
    </row>
    <row r="13" spans="1:13" ht="32.1" customHeight="1" x14ac:dyDescent="0.2">
      <c r="A13" s="5">
        <v>7</v>
      </c>
      <c r="B13" s="53" t="s">
        <v>147</v>
      </c>
      <c r="C13" s="54"/>
      <c r="D13" s="9">
        <v>50</v>
      </c>
      <c r="E13" s="31">
        <v>56.64</v>
      </c>
      <c r="F13" s="31">
        <f t="shared" si="0"/>
        <v>2832</v>
      </c>
      <c r="G13" s="32">
        <f t="shared" si="1"/>
        <v>68.44</v>
      </c>
      <c r="H13" s="33">
        <f t="shared" si="2"/>
        <v>3422</v>
      </c>
      <c r="I13" s="33">
        <v>60.77</v>
      </c>
      <c r="J13" s="33">
        <f t="shared" si="3"/>
        <v>3038.5</v>
      </c>
      <c r="M13">
        <v>58</v>
      </c>
    </row>
    <row r="14" spans="1:13" ht="32.1" customHeight="1" x14ac:dyDescent="0.2">
      <c r="A14" s="5">
        <v>8</v>
      </c>
      <c r="B14" s="53" t="s">
        <v>148</v>
      </c>
      <c r="C14" s="54"/>
      <c r="D14" s="9">
        <v>100</v>
      </c>
      <c r="E14" s="31">
        <v>142.78</v>
      </c>
      <c r="F14" s="31">
        <f t="shared" si="0"/>
        <v>14278</v>
      </c>
      <c r="G14" s="32">
        <f t="shared" si="1"/>
        <v>169.92</v>
      </c>
      <c r="H14" s="33">
        <f t="shared" si="2"/>
        <v>16992</v>
      </c>
      <c r="I14" s="33">
        <v>147.5</v>
      </c>
      <c r="J14" s="33">
        <f t="shared" si="3"/>
        <v>14750</v>
      </c>
      <c r="M14">
        <v>144</v>
      </c>
    </row>
    <row r="15" spans="1:13" ht="32.1" customHeight="1" x14ac:dyDescent="0.2">
      <c r="A15" s="5">
        <v>9</v>
      </c>
      <c r="B15" s="51" t="s">
        <v>149</v>
      </c>
      <c r="C15" s="52"/>
      <c r="D15" s="9">
        <v>25</v>
      </c>
      <c r="E15" s="31">
        <v>782.34</v>
      </c>
      <c r="F15" s="31">
        <f t="shared" si="0"/>
        <v>19558.5</v>
      </c>
      <c r="G15" s="32">
        <f t="shared" si="1"/>
        <v>879.1</v>
      </c>
      <c r="H15" s="33">
        <f t="shared" si="2"/>
        <v>21977.5</v>
      </c>
      <c r="I15" s="33">
        <v>790.6</v>
      </c>
      <c r="J15" s="33">
        <f t="shared" si="3"/>
        <v>19765</v>
      </c>
      <c r="M15">
        <v>745</v>
      </c>
    </row>
    <row r="16" spans="1:13" ht="32.1" customHeight="1" x14ac:dyDescent="0.2">
      <c r="A16" s="5">
        <v>10</v>
      </c>
      <c r="B16" s="51" t="s">
        <v>150</v>
      </c>
      <c r="C16" s="52"/>
      <c r="D16" s="10">
        <v>8000</v>
      </c>
      <c r="E16" s="31">
        <v>3.43</v>
      </c>
      <c r="F16" s="31">
        <f t="shared" si="0"/>
        <v>27440</v>
      </c>
      <c r="G16" s="32">
        <f t="shared" si="1"/>
        <v>5.4279999999999999</v>
      </c>
      <c r="H16" s="33">
        <f t="shared" si="2"/>
        <v>43424</v>
      </c>
      <c r="I16" s="33">
        <v>4.13</v>
      </c>
      <c r="J16" s="33">
        <f t="shared" si="3"/>
        <v>33040</v>
      </c>
      <c r="M16">
        <v>4.5999999999999996</v>
      </c>
    </row>
    <row r="17" spans="1:13" ht="32.1" customHeight="1" x14ac:dyDescent="0.2">
      <c r="A17" s="5">
        <v>11</v>
      </c>
      <c r="B17" s="51" t="s">
        <v>151</v>
      </c>
      <c r="C17" s="52"/>
      <c r="D17" s="9">
        <v>200</v>
      </c>
      <c r="E17" s="31">
        <v>1829</v>
      </c>
      <c r="F17" s="31">
        <f t="shared" si="0"/>
        <v>365800</v>
      </c>
      <c r="G17" s="32">
        <f t="shared" si="1"/>
        <v>2118.1</v>
      </c>
      <c r="H17" s="33">
        <f t="shared" si="2"/>
        <v>423620</v>
      </c>
      <c r="I17" s="33">
        <v>1870.3</v>
      </c>
      <c r="J17" s="33">
        <f t="shared" si="3"/>
        <v>374060</v>
      </c>
      <c r="M17">
        <v>1795</v>
      </c>
    </row>
    <row r="18" spans="1:13" ht="32.1" customHeight="1" x14ac:dyDescent="0.2">
      <c r="A18" s="5">
        <v>12</v>
      </c>
      <c r="B18" s="51" t="s">
        <v>152</v>
      </c>
      <c r="C18" s="52"/>
      <c r="D18" s="9">
        <v>50</v>
      </c>
      <c r="E18" s="31">
        <v>132.4</v>
      </c>
      <c r="F18" s="31">
        <f t="shared" si="0"/>
        <v>6620</v>
      </c>
      <c r="G18" s="32">
        <f t="shared" si="1"/>
        <v>155.76</v>
      </c>
      <c r="H18" s="33">
        <f t="shared" si="2"/>
        <v>7788</v>
      </c>
      <c r="I18" s="33">
        <v>135.69999999999999</v>
      </c>
      <c r="J18" s="33">
        <f t="shared" si="3"/>
        <v>6784.9999999999991</v>
      </c>
      <c r="M18">
        <v>132</v>
      </c>
    </row>
    <row r="19" spans="1:13" ht="32.1" customHeight="1" x14ac:dyDescent="0.2">
      <c r="A19" s="5">
        <v>13</v>
      </c>
      <c r="B19" s="53" t="s">
        <v>153</v>
      </c>
      <c r="C19" s="54"/>
      <c r="D19" s="9">
        <v>25</v>
      </c>
      <c r="E19" s="31">
        <v>1203.5999999999999</v>
      </c>
      <c r="F19" s="31">
        <f t="shared" si="0"/>
        <v>30089.999999999996</v>
      </c>
      <c r="G19" s="32">
        <f t="shared" si="1"/>
        <v>1404.2</v>
      </c>
      <c r="H19" s="33">
        <f t="shared" si="2"/>
        <v>35105</v>
      </c>
      <c r="I19" s="33">
        <v>1239</v>
      </c>
      <c r="J19" s="33">
        <f t="shared" si="3"/>
        <v>30975</v>
      </c>
      <c r="M19">
        <v>1190</v>
      </c>
    </row>
    <row r="20" spans="1:13" ht="32.1" customHeight="1" x14ac:dyDescent="0.2">
      <c r="A20" s="5">
        <v>14</v>
      </c>
      <c r="B20" s="53" t="s">
        <v>154</v>
      </c>
      <c r="C20" s="54"/>
      <c r="D20" s="9">
        <v>100</v>
      </c>
      <c r="E20" s="31">
        <v>180.54</v>
      </c>
      <c r="F20" s="31">
        <f t="shared" si="0"/>
        <v>18054</v>
      </c>
      <c r="G20" s="32">
        <f t="shared" si="1"/>
        <v>211.22</v>
      </c>
      <c r="H20" s="33">
        <f t="shared" si="2"/>
        <v>21122</v>
      </c>
      <c r="I20" s="33">
        <v>186.44</v>
      </c>
      <c r="J20" s="33">
        <f t="shared" si="3"/>
        <v>18644</v>
      </c>
      <c r="M20">
        <v>179</v>
      </c>
    </row>
    <row r="21" spans="1:13" ht="32.1" customHeight="1" x14ac:dyDescent="0.2">
      <c r="A21" s="5">
        <v>15</v>
      </c>
      <c r="B21" s="53" t="s">
        <v>155</v>
      </c>
      <c r="C21" s="54"/>
      <c r="D21" s="9">
        <v>150</v>
      </c>
      <c r="E21" s="31">
        <v>361.08</v>
      </c>
      <c r="F21" s="31">
        <f t="shared" si="0"/>
        <v>54162</v>
      </c>
      <c r="G21" s="32">
        <f t="shared" si="1"/>
        <v>408.28</v>
      </c>
      <c r="H21" s="33">
        <f t="shared" si="2"/>
        <v>61241.999999999993</v>
      </c>
      <c r="I21" s="33">
        <v>365.8</v>
      </c>
      <c r="J21" s="33">
        <f t="shared" si="3"/>
        <v>54870</v>
      </c>
      <c r="M21">
        <v>346</v>
      </c>
    </row>
    <row r="22" spans="1:13" ht="32.1" customHeight="1" x14ac:dyDescent="0.2">
      <c r="A22" s="5">
        <v>16</v>
      </c>
      <c r="B22" s="53" t="s">
        <v>156</v>
      </c>
      <c r="C22" s="54"/>
      <c r="D22" s="9">
        <v>50</v>
      </c>
      <c r="E22" s="31">
        <v>601.79999999999995</v>
      </c>
      <c r="F22" s="31">
        <f t="shared" si="0"/>
        <v>30089.999999999996</v>
      </c>
      <c r="G22" s="32">
        <f t="shared" si="1"/>
        <v>692.66</v>
      </c>
      <c r="H22" s="33">
        <f t="shared" si="2"/>
        <v>34633</v>
      </c>
      <c r="I22" s="33">
        <v>606.52</v>
      </c>
      <c r="J22" s="33">
        <f t="shared" si="3"/>
        <v>30326</v>
      </c>
      <c r="M22">
        <v>587</v>
      </c>
    </row>
    <row r="23" spans="1:13" ht="32.1" customHeight="1" x14ac:dyDescent="0.2">
      <c r="A23" s="5">
        <v>17</v>
      </c>
      <c r="B23" s="53" t="s">
        <v>157</v>
      </c>
      <c r="C23" s="54"/>
      <c r="D23" s="9">
        <v>100</v>
      </c>
      <c r="E23" s="31">
        <v>18.05</v>
      </c>
      <c r="F23" s="31">
        <f t="shared" si="0"/>
        <v>1805</v>
      </c>
      <c r="G23" s="32">
        <f t="shared" si="1"/>
        <v>24.78</v>
      </c>
      <c r="H23" s="33">
        <f t="shared" si="2"/>
        <v>2478</v>
      </c>
      <c r="I23" s="33">
        <v>20.059999999999999</v>
      </c>
      <c r="J23" s="33">
        <f t="shared" si="3"/>
        <v>2005.9999999999998</v>
      </c>
      <c r="M23">
        <v>21</v>
      </c>
    </row>
    <row r="24" spans="1:13" ht="32.1" customHeight="1" x14ac:dyDescent="0.2">
      <c r="A24" s="5">
        <v>18</v>
      </c>
      <c r="B24" s="51" t="s">
        <v>158</v>
      </c>
      <c r="C24" s="52"/>
      <c r="D24" s="9">
        <v>5</v>
      </c>
      <c r="E24" s="31">
        <v>1805.4</v>
      </c>
      <c r="F24" s="31">
        <f t="shared" si="0"/>
        <v>9027</v>
      </c>
      <c r="G24" s="32">
        <f t="shared" si="1"/>
        <v>1988.3</v>
      </c>
      <c r="H24" s="33">
        <f t="shared" si="2"/>
        <v>9941.5</v>
      </c>
      <c r="I24" s="33">
        <v>1823.1</v>
      </c>
      <c r="J24" s="33">
        <f t="shared" si="3"/>
        <v>9115.5</v>
      </c>
      <c r="M24">
        <v>1685</v>
      </c>
    </row>
    <row r="25" spans="1:13" ht="32.1" customHeight="1" x14ac:dyDescent="0.2">
      <c r="A25" s="5">
        <v>19</v>
      </c>
      <c r="B25" s="53" t="s">
        <v>159</v>
      </c>
      <c r="C25" s="54"/>
      <c r="D25" s="9">
        <v>25</v>
      </c>
      <c r="E25" s="31">
        <v>240.72</v>
      </c>
      <c r="F25" s="31">
        <f t="shared" si="0"/>
        <v>6018</v>
      </c>
      <c r="G25" s="32">
        <f t="shared" si="1"/>
        <v>286.74</v>
      </c>
      <c r="H25" s="33">
        <f t="shared" si="2"/>
        <v>7168.5</v>
      </c>
      <c r="I25" s="33">
        <v>247.8</v>
      </c>
      <c r="J25" s="33">
        <f t="shared" si="3"/>
        <v>6195</v>
      </c>
      <c r="M25">
        <v>243</v>
      </c>
    </row>
    <row r="26" spans="1:13" ht="32.1" customHeight="1" x14ac:dyDescent="0.2">
      <c r="A26" s="5">
        <v>20</v>
      </c>
      <c r="B26" s="53" t="s">
        <v>160</v>
      </c>
      <c r="C26" s="54"/>
      <c r="D26" s="9">
        <v>200</v>
      </c>
      <c r="E26" s="31">
        <v>180.54</v>
      </c>
      <c r="F26" s="31">
        <f t="shared" si="0"/>
        <v>36108</v>
      </c>
      <c r="G26" s="32">
        <f t="shared" si="1"/>
        <v>214.76</v>
      </c>
      <c r="H26" s="33">
        <f t="shared" si="2"/>
        <v>42952</v>
      </c>
      <c r="I26" s="33">
        <v>188.8</v>
      </c>
      <c r="J26" s="33">
        <f t="shared" si="3"/>
        <v>37760</v>
      </c>
      <c r="M26">
        <v>182</v>
      </c>
    </row>
    <row r="27" spans="1:13" ht="32.1" customHeight="1" x14ac:dyDescent="0.2">
      <c r="A27" s="5">
        <v>21</v>
      </c>
      <c r="B27" s="53" t="s">
        <v>161</v>
      </c>
      <c r="C27" s="54"/>
      <c r="D27" s="9">
        <v>150</v>
      </c>
      <c r="E27" s="31">
        <v>180.54</v>
      </c>
      <c r="F27" s="31">
        <f t="shared" si="0"/>
        <v>27081</v>
      </c>
      <c r="G27" s="32">
        <f t="shared" si="1"/>
        <v>212.4</v>
      </c>
      <c r="H27" s="33">
        <f t="shared" si="2"/>
        <v>31860</v>
      </c>
      <c r="I27" s="33">
        <v>186.44</v>
      </c>
      <c r="J27" s="33">
        <f t="shared" si="3"/>
        <v>27966</v>
      </c>
      <c r="M27">
        <v>180</v>
      </c>
    </row>
    <row r="28" spans="1:13" ht="32.1" customHeight="1" x14ac:dyDescent="0.2">
      <c r="A28" s="5">
        <v>22</v>
      </c>
      <c r="B28" s="51" t="s">
        <v>162</v>
      </c>
      <c r="C28" s="52"/>
      <c r="D28" s="9">
        <v>5</v>
      </c>
      <c r="E28" s="31">
        <v>71012.399999999994</v>
      </c>
      <c r="F28" s="31">
        <f t="shared" si="0"/>
        <v>355062</v>
      </c>
      <c r="G28" s="32">
        <f t="shared" si="1"/>
        <v>76552.5</v>
      </c>
      <c r="H28" s="33">
        <f t="shared" si="2"/>
        <v>382762.5</v>
      </c>
      <c r="I28" s="33">
        <v>72900.399999999994</v>
      </c>
      <c r="J28" s="33">
        <f t="shared" si="3"/>
        <v>364502</v>
      </c>
      <c r="M28">
        <v>64875</v>
      </c>
    </row>
    <row r="29" spans="1:13" ht="32.1" customHeight="1" x14ac:dyDescent="0.2">
      <c r="A29" s="5">
        <v>23</v>
      </c>
      <c r="B29" s="53" t="s">
        <v>163</v>
      </c>
      <c r="C29" s="54"/>
      <c r="D29" s="9">
        <v>10</v>
      </c>
      <c r="E29" s="31">
        <v>601.79999999999995</v>
      </c>
      <c r="F29" s="31">
        <f t="shared" si="0"/>
        <v>6018</v>
      </c>
      <c r="G29" s="32">
        <f t="shared" si="1"/>
        <v>693.84</v>
      </c>
      <c r="H29" s="33">
        <f t="shared" si="2"/>
        <v>6938.4000000000005</v>
      </c>
      <c r="I29" s="33">
        <v>607.70000000000005</v>
      </c>
      <c r="J29" s="33">
        <f t="shared" si="3"/>
        <v>6077</v>
      </c>
      <c r="M29">
        <v>588</v>
      </c>
    </row>
    <row r="30" spans="1:13" ht="32.1" customHeight="1" x14ac:dyDescent="0.2">
      <c r="A30" s="5">
        <v>24</v>
      </c>
      <c r="B30" s="53" t="s">
        <v>164</v>
      </c>
      <c r="C30" s="54"/>
      <c r="D30" s="9">
        <v>10</v>
      </c>
      <c r="E30" s="31">
        <v>842.52</v>
      </c>
      <c r="F30" s="31">
        <f t="shared" si="0"/>
        <v>8425.2000000000007</v>
      </c>
      <c r="G30" s="32">
        <f t="shared" si="1"/>
        <v>936.92</v>
      </c>
      <c r="H30" s="33">
        <f t="shared" si="2"/>
        <v>9369.1999999999989</v>
      </c>
      <c r="I30" s="33">
        <v>849.6</v>
      </c>
      <c r="J30" s="33">
        <f t="shared" si="3"/>
        <v>8496</v>
      </c>
      <c r="M30">
        <v>794</v>
      </c>
    </row>
    <row r="31" spans="1:13" ht="32.1" customHeight="1" x14ac:dyDescent="0.2">
      <c r="A31" s="5">
        <v>25</v>
      </c>
      <c r="B31" s="53" t="s">
        <v>165</v>
      </c>
      <c r="C31" s="54"/>
      <c r="D31" s="9">
        <v>15</v>
      </c>
      <c r="E31" s="31">
        <v>4814.3999999999996</v>
      </c>
      <c r="F31" s="31">
        <f t="shared" si="0"/>
        <v>72216</v>
      </c>
      <c r="G31" s="32">
        <f t="shared" si="1"/>
        <v>5333.6</v>
      </c>
      <c r="H31" s="33">
        <f t="shared" si="2"/>
        <v>80004</v>
      </c>
      <c r="I31" s="33">
        <v>4832.1000000000004</v>
      </c>
      <c r="J31" s="33">
        <f t="shared" si="3"/>
        <v>72481.5</v>
      </c>
      <c r="M31">
        <v>4520</v>
      </c>
    </row>
    <row r="32" spans="1:13" ht="32.1" customHeight="1" x14ac:dyDescent="0.2">
      <c r="A32" s="5">
        <v>26</v>
      </c>
      <c r="B32" s="53" t="s">
        <v>166</v>
      </c>
      <c r="C32" s="54"/>
      <c r="D32" s="9">
        <v>15</v>
      </c>
      <c r="E32" s="31">
        <v>14443.2</v>
      </c>
      <c r="F32" s="31">
        <f t="shared" si="0"/>
        <v>216648</v>
      </c>
      <c r="G32" s="32">
        <f t="shared" si="1"/>
        <v>16496.400000000001</v>
      </c>
      <c r="H32" s="33">
        <f t="shared" si="2"/>
        <v>247446.00000000003</v>
      </c>
      <c r="I32" s="33">
        <v>15080.4</v>
      </c>
      <c r="J32" s="33">
        <f t="shared" si="3"/>
        <v>226206</v>
      </c>
      <c r="M32">
        <v>13980</v>
      </c>
    </row>
    <row r="33" spans="1:13" ht="32.1" customHeight="1" x14ac:dyDescent="0.2">
      <c r="A33" s="5">
        <v>27</v>
      </c>
      <c r="B33" s="53" t="s">
        <v>167</v>
      </c>
      <c r="C33" s="54"/>
      <c r="D33" s="9">
        <v>15</v>
      </c>
      <c r="E33" s="31">
        <v>10832.4</v>
      </c>
      <c r="F33" s="31">
        <f t="shared" si="0"/>
        <v>162486</v>
      </c>
      <c r="G33" s="32">
        <f t="shared" si="1"/>
        <v>12484.4</v>
      </c>
      <c r="H33" s="33">
        <f t="shared" si="2"/>
        <v>187266</v>
      </c>
      <c r="I33" s="33">
        <v>11068.4</v>
      </c>
      <c r="J33" s="33">
        <f t="shared" si="3"/>
        <v>166026</v>
      </c>
      <c r="M33">
        <v>10580</v>
      </c>
    </row>
    <row r="34" spans="1:13" ht="32.1" customHeight="1" x14ac:dyDescent="0.2">
      <c r="A34" s="5">
        <v>28</v>
      </c>
      <c r="B34" s="53" t="s">
        <v>168</v>
      </c>
      <c r="C34" s="54"/>
      <c r="D34" s="9">
        <v>15</v>
      </c>
      <c r="E34" s="31">
        <v>33099</v>
      </c>
      <c r="F34" s="31">
        <f t="shared" si="0"/>
        <v>496485</v>
      </c>
      <c r="G34" s="32">
        <f t="shared" si="1"/>
        <v>38562.400000000001</v>
      </c>
      <c r="H34" s="33">
        <f t="shared" si="2"/>
        <v>578436</v>
      </c>
      <c r="I34" s="33">
        <v>34161</v>
      </c>
      <c r="J34" s="33">
        <f t="shared" si="3"/>
        <v>512415</v>
      </c>
      <c r="M34">
        <v>32680</v>
      </c>
    </row>
    <row r="35" spans="1:13" ht="32.1" customHeight="1" x14ac:dyDescent="0.2">
      <c r="A35" s="5">
        <v>29</v>
      </c>
      <c r="B35" s="53" t="s">
        <v>169</v>
      </c>
      <c r="C35" s="54"/>
      <c r="D35" s="9">
        <v>20</v>
      </c>
      <c r="E35" s="31">
        <v>902.7</v>
      </c>
      <c r="F35" s="31">
        <f t="shared" si="0"/>
        <v>18054</v>
      </c>
      <c r="G35" s="32">
        <f t="shared" si="1"/>
        <v>985.3</v>
      </c>
      <c r="H35" s="33">
        <f t="shared" si="2"/>
        <v>19706</v>
      </c>
      <c r="I35" s="33">
        <v>908.6</v>
      </c>
      <c r="J35" s="33">
        <f t="shared" si="3"/>
        <v>18172</v>
      </c>
      <c r="M35">
        <v>835</v>
      </c>
    </row>
    <row r="36" spans="1:13" ht="32.1" customHeight="1" x14ac:dyDescent="0.2">
      <c r="A36" s="5">
        <v>30</v>
      </c>
      <c r="B36" s="53" t="s">
        <v>170</v>
      </c>
      <c r="C36" s="54"/>
      <c r="D36" s="9">
        <v>15</v>
      </c>
      <c r="E36" s="31">
        <v>1083.24</v>
      </c>
      <c r="F36" s="31">
        <f t="shared" si="0"/>
        <v>16248.6</v>
      </c>
      <c r="G36" s="32">
        <f t="shared" si="1"/>
        <v>1178.82</v>
      </c>
      <c r="H36" s="33">
        <f t="shared" si="2"/>
        <v>17682.3</v>
      </c>
      <c r="I36" s="33">
        <v>1091.5</v>
      </c>
      <c r="J36" s="33">
        <f t="shared" si="3"/>
        <v>16372.5</v>
      </c>
      <c r="M36">
        <v>999</v>
      </c>
    </row>
    <row r="37" spans="1:13" ht="32.1" customHeight="1" x14ac:dyDescent="0.2">
      <c r="A37" s="5">
        <v>31</v>
      </c>
      <c r="B37" s="51" t="s">
        <v>171</v>
      </c>
      <c r="C37" s="52"/>
      <c r="D37" s="9">
        <v>40</v>
      </c>
      <c r="E37" s="31">
        <v>1444.32</v>
      </c>
      <c r="F37" s="31">
        <f t="shared" si="0"/>
        <v>57772.799999999996</v>
      </c>
      <c r="G37" s="32">
        <f t="shared" si="1"/>
        <v>1637.84</v>
      </c>
      <c r="H37" s="33">
        <f t="shared" si="2"/>
        <v>65513.599999999999</v>
      </c>
      <c r="I37" s="33">
        <v>1475</v>
      </c>
      <c r="J37" s="33">
        <f t="shared" si="3"/>
        <v>59000</v>
      </c>
      <c r="M37">
        <v>1388</v>
      </c>
    </row>
    <row r="38" spans="1:13" ht="32.1" customHeight="1" x14ac:dyDescent="0.2">
      <c r="A38" s="5">
        <v>32</v>
      </c>
      <c r="B38" s="53" t="s">
        <v>172</v>
      </c>
      <c r="C38" s="54"/>
      <c r="D38" s="10">
        <v>4000</v>
      </c>
      <c r="E38" s="31">
        <v>42.13</v>
      </c>
      <c r="F38" s="31">
        <f t="shared" si="0"/>
        <v>168520</v>
      </c>
      <c r="G38" s="32">
        <f t="shared" si="1"/>
        <v>51.92</v>
      </c>
      <c r="H38" s="33">
        <f t="shared" si="2"/>
        <v>207680</v>
      </c>
      <c r="I38" s="33">
        <v>44.84</v>
      </c>
      <c r="J38" s="33">
        <f t="shared" si="3"/>
        <v>179360</v>
      </c>
      <c r="M38">
        <v>44</v>
      </c>
    </row>
    <row r="39" spans="1:13" ht="32.1" customHeight="1" x14ac:dyDescent="0.2">
      <c r="A39" s="5">
        <v>33</v>
      </c>
      <c r="B39" s="53" t="s">
        <v>173</v>
      </c>
      <c r="C39" s="54"/>
      <c r="D39" s="10">
        <v>4000</v>
      </c>
      <c r="E39" s="31">
        <v>42.13</v>
      </c>
      <c r="F39" s="31">
        <f t="shared" si="0"/>
        <v>168520</v>
      </c>
      <c r="G39" s="32">
        <f t="shared" si="1"/>
        <v>51.92</v>
      </c>
      <c r="H39" s="33">
        <f t="shared" si="2"/>
        <v>207680</v>
      </c>
      <c r="I39" s="33">
        <v>44.84</v>
      </c>
      <c r="J39" s="33">
        <f t="shared" si="3"/>
        <v>179360</v>
      </c>
      <c r="M39">
        <v>44</v>
      </c>
    </row>
    <row r="40" spans="1:13" ht="32.1" customHeight="1" x14ac:dyDescent="0.2">
      <c r="A40" s="5">
        <v>34</v>
      </c>
      <c r="B40" s="51" t="s">
        <v>174</v>
      </c>
      <c r="C40" s="52"/>
      <c r="D40" s="10">
        <v>2500</v>
      </c>
      <c r="E40" s="31">
        <v>22.42</v>
      </c>
      <c r="F40" s="31">
        <f t="shared" si="0"/>
        <v>56050.000000000007</v>
      </c>
      <c r="G40" s="32">
        <f t="shared" si="1"/>
        <v>28.32</v>
      </c>
      <c r="H40" s="33">
        <f t="shared" si="2"/>
        <v>70800</v>
      </c>
      <c r="I40" s="33">
        <v>25.96</v>
      </c>
      <c r="J40" s="33">
        <f t="shared" si="3"/>
        <v>64900</v>
      </c>
      <c r="M40">
        <v>24</v>
      </c>
    </row>
    <row r="41" spans="1:13" ht="32.1" customHeight="1" x14ac:dyDescent="0.2">
      <c r="A41" s="5">
        <v>35</v>
      </c>
      <c r="B41" s="51" t="s">
        <v>175</v>
      </c>
      <c r="C41" s="52"/>
      <c r="D41" s="9">
        <v>200</v>
      </c>
      <c r="E41" s="31">
        <v>135.69999999999999</v>
      </c>
      <c r="F41" s="31">
        <f t="shared" si="0"/>
        <v>27139.999999999996</v>
      </c>
      <c r="G41" s="32">
        <f t="shared" si="1"/>
        <v>155.76</v>
      </c>
      <c r="H41" s="33">
        <f t="shared" si="2"/>
        <v>31152</v>
      </c>
      <c r="I41" s="33">
        <v>139.24</v>
      </c>
      <c r="J41" s="33">
        <f t="shared" si="3"/>
        <v>27848</v>
      </c>
      <c r="M41">
        <v>132</v>
      </c>
    </row>
    <row r="42" spans="1:13" ht="32.1" customHeight="1" x14ac:dyDescent="0.2">
      <c r="A42" s="5">
        <v>36</v>
      </c>
      <c r="B42" s="51" t="s">
        <v>176</v>
      </c>
      <c r="C42" s="52"/>
      <c r="D42" s="9">
        <v>300</v>
      </c>
      <c r="E42" s="31">
        <v>113.28</v>
      </c>
      <c r="F42" s="31">
        <f t="shared" si="0"/>
        <v>33984</v>
      </c>
      <c r="G42" s="32">
        <f t="shared" si="1"/>
        <v>132.16</v>
      </c>
      <c r="H42" s="33">
        <f t="shared" si="2"/>
        <v>39648</v>
      </c>
      <c r="I42" s="33">
        <v>116.82</v>
      </c>
      <c r="J42" s="33">
        <f t="shared" si="3"/>
        <v>35046</v>
      </c>
      <c r="M42">
        <v>112</v>
      </c>
    </row>
    <row r="43" spans="1:13" ht="32.1" customHeight="1" x14ac:dyDescent="0.2">
      <c r="A43" s="5">
        <v>37</v>
      </c>
      <c r="B43" s="51" t="s">
        <v>177</v>
      </c>
      <c r="C43" s="52"/>
      <c r="D43" s="9">
        <v>100</v>
      </c>
      <c r="E43" s="31">
        <v>82.6</v>
      </c>
      <c r="F43" s="31">
        <f t="shared" si="0"/>
        <v>8260</v>
      </c>
      <c r="G43" s="32">
        <f t="shared" si="1"/>
        <v>97.94</v>
      </c>
      <c r="H43" s="33">
        <f t="shared" si="2"/>
        <v>9794</v>
      </c>
      <c r="I43" s="33">
        <v>87.32</v>
      </c>
      <c r="J43" s="33">
        <f t="shared" si="3"/>
        <v>8732</v>
      </c>
      <c r="M43">
        <v>83</v>
      </c>
    </row>
    <row r="44" spans="1:13" ht="32.1" customHeight="1" x14ac:dyDescent="0.2">
      <c r="A44" s="5">
        <v>38</v>
      </c>
      <c r="B44" s="53" t="s">
        <v>178</v>
      </c>
      <c r="C44" s="54"/>
      <c r="D44" s="10">
        <v>1500</v>
      </c>
      <c r="E44" s="31">
        <v>112.1</v>
      </c>
      <c r="F44" s="31">
        <f t="shared" si="0"/>
        <v>168150</v>
      </c>
      <c r="G44" s="32">
        <f t="shared" si="1"/>
        <v>132.16</v>
      </c>
      <c r="H44" s="33">
        <f t="shared" si="2"/>
        <v>198240</v>
      </c>
      <c r="I44" s="33">
        <v>116.82</v>
      </c>
      <c r="J44" s="33">
        <f t="shared" si="3"/>
        <v>175230</v>
      </c>
      <c r="M44">
        <v>112</v>
      </c>
    </row>
    <row r="45" spans="1:13" ht="32.1" customHeight="1" x14ac:dyDescent="0.2">
      <c r="A45" s="5">
        <v>39</v>
      </c>
      <c r="B45" s="51" t="s">
        <v>179</v>
      </c>
      <c r="C45" s="52"/>
      <c r="D45" s="10">
        <v>10000</v>
      </c>
      <c r="E45" s="31">
        <v>153.4</v>
      </c>
      <c r="F45" s="31">
        <f t="shared" si="0"/>
        <v>1534000</v>
      </c>
      <c r="G45" s="32">
        <f t="shared" si="1"/>
        <v>179.36</v>
      </c>
      <c r="H45" s="33">
        <f t="shared" si="2"/>
        <v>1793600.0000000002</v>
      </c>
      <c r="I45" s="33">
        <v>159.30000000000001</v>
      </c>
      <c r="J45" s="33">
        <f t="shared" si="3"/>
        <v>1593000</v>
      </c>
      <c r="M45">
        <v>152</v>
      </c>
    </row>
    <row r="46" spans="1:13" ht="32.1" customHeight="1" x14ac:dyDescent="0.2">
      <c r="A46" s="5">
        <v>40</v>
      </c>
      <c r="B46" s="51" t="s">
        <v>180</v>
      </c>
      <c r="C46" s="52"/>
      <c r="D46" s="9">
        <v>500</v>
      </c>
      <c r="E46" s="31">
        <v>70.8</v>
      </c>
      <c r="F46" s="31">
        <f t="shared" si="0"/>
        <v>35400</v>
      </c>
      <c r="G46" s="32">
        <f t="shared" si="1"/>
        <v>86.14</v>
      </c>
      <c r="H46" s="33">
        <f t="shared" si="2"/>
        <v>43070</v>
      </c>
      <c r="I46" s="33">
        <v>75.52</v>
      </c>
      <c r="J46" s="33">
        <f t="shared" si="3"/>
        <v>37760</v>
      </c>
      <c r="M46">
        <v>73</v>
      </c>
    </row>
    <row r="47" spans="1:13" ht="32.1" customHeight="1" x14ac:dyDescent="0.2">
      <c r="A47" s="5">
        <v>41</v>
      </c>
      <c r="B47" s="51" t="s">
        <v>181</v>
      </c>
      <c r="C47" s="52"/>
      <c r="D47" s="9">
        <v>800</v>
      </c>
      <c r="E47" s="31">
        <v>324.5</v>
      </c>
      <c r="F47" s="31">
        <f t="shared" si="0"/>
        <v>259600</v>
      </c>
      <c r="G47" s="32">
        <f t="shared" si="1"/>
        <v>375.24</v>
      </c>
      <c r="H47" s="33">
        <f t="shared" si="2"/>
        <v>300192</v>
      </c>
      <c r="I47" s="33">
        <v>330.4</v>
      </c>
      <c r="J47" s="33">
        <f t="shared" si="3"/>
        <v>264320</v>
      </c>
      <c r="M47">
        <v>318</v>
      </c>
    </row>
    <row r="48" spans="1:13" ht="32.1" customHeight="1" x14ac:dyDescent="0.2">
      <c r="A48" s="5">
        <v>42</v>
      </c>
      <c r="B48" s="51" t="s">
        <v>182</v>
      </c>
      <c r="C48" s="52"/>
      <c r="D48" s="9">
        <v>800</v>
      </c>
      <c r="E48" s="31">
        <v>212.4</v>
      </c>
      <c r="F48" s="31">
        <f t="shared" si="0"/>
        <v>169920</v>
      </c>
      <c r="G48" s="32">
        <f t="shared" si="1"/>
        <v>250.16</v>
      </c>
      <c r="H48" s="33">
        <f t="shared" si="2"/>
        <v>200128</v>
      </c>
      <c r="I48" s="33">
        <v>217.12</v>
      </c>
      <c r="J48" s="33">
        <f t="shared" si="3"/>
        <v>173696</v>
      </c>
      <c r="M48">
        <v>212</v>
      </c>
    </row>
    <row r="49" spans="1:13" ht="32.1" customHeight="1" x14ac:dyDescent="0.2">
      <c r="A49" s="5">
        <v>43</v>
      </c>
      <c r="B49" s="51" t="s">
        <v>183</v>
      </c>
      <c r="C49" s="52"/>
      <c r="D49" s="9">
        <v>500</v>
      </c>
      <c r="E49" s="31">
        <v>684.4</v>
      </c>
      <c r="F49" s="31">
        <f t="shared" si="0"/>
        <v>342200</v>
      </c>
      <c r="G49" s="32">
        <f t="shared" si="1"/>
        <v>796.5</v>
      </c>
      <c r="H49" s="33">
        <f t="shared" si="2"/>
        <v>398250</v>
      </c>
      <c r="I49" s="33">
        <v>696.2</v>
      </c>
      <c r="J49" s="33">
        <f t="shared" si="3"/>
        <v>348100</v>
      </c>
      <c r="M49">
        <v>675</v>
      </c>
    </row>
    <row r="50" spans="1:13" ht="32.1" customHeight="1" x14ac:dyDescent="0.2">
      <c r="A50" s="5">
        <v>44</v>
      </c>
      <c r="B50" s="53" t="s">
        <v>184</v>
      </c>
      <c r="C50" s="54"/>
      <c r="D50" s="9">
        <v>200</v>
      </c>
      <c r="E50" s="31">
        <v>436.6</v>
      </c>
      <c r="F50" s="31">
        <f t="shared" si="0"/>
        <v>87320</v>
      </c>
      <c r="G50" s="32">
        <f t="shared" si="1"/>
        <v>503.86</v>
      </c>
      <c r="H50" s="33">
        <f t="shared" si="2"/>
        <v>100772</v>
      </c>
      <c r="I50" s="33">
        <v>442.5</v>
      </c>
      <c r="J50" s="33">
        <f t="shared" si="3"/>
        <v>88500</v>
      </c>
      <c r="M50">
        <v>427</v>
      </c>
    </row>
    <row r="51" spans="1:13" ht="32.1" customHeight="1" x14ac:dyDescent="0.2">
      <c r="A51" s="5">
        <v>45</v>
      </c>
      <c r="B51" s="53" t="s">
        <v>185</v>
      </c>
      <c r="C51" s="54"/>
      <c r="D51" s="9">
        <v>200</v>
      </c>
      <c r="E51" s="31">
        <v>684.4</v>
      </c>
      <c r="F51" s="31">
        <f t="shared" si="0"/>
        <v>136880</v>
      </c>
      <c r="G51" s="32">
        <f t="shared" si="1"/>
        <v>794.14</v>
      </c>
      <c r="H51" s="33">
        <f t="shared" si="2"/>
        <v>158828</v>
      </c>
      <c r="I51" s="33">
        <v>696.2</v>
      </c>
      <c r="J51" s="33">
        <f t="shared" si="3"/>
        <v>139240</v>
      </c>
      <c r="M51">
        <v>673</v>
      </c>
    </row>
    <row r="52" spans="1:13" ht="32.1" customHeight="1" x14ac:dyDescent="0.2">
      <c r="A52" s="5">
        <v>46</v>
      </c>
      <c r="B52" s="53" t="s">
        <v>186</v>
      </c>
      <c r="C52" s="54"/>
      <c r="D52" s="9">
        <v>15</v>
      </c>
      <c r="E52" s="31">
        <v>59</v>
      </c>
      <c r="F52" s="31">
        <f t="shared" si="0"/>
        <v>885</v>
      </c>
      <c r="G52" s="32">
        <f t="shared" si="1"/>
        <v>69.62</v>
      </c>
      <c r="H52" s="33">
        <f t="shared" si="2"/>
        <v>1044.3000000000002</v>
      </c>
      <c r="I52" s="33">
        <v>63.72</v>
      </c>
      <c r="J52" s="33">
        <f t="shared" si="3"/>
        <v>955.8</v>
      </c>
      <c r="M52">
        <v>59</v>
      </c>
    </row>
    <row r="53" spans="1:13" ht="32.1" customHeight="1" x14ac:dyDescent="0.2">
      <c r="A53" s="5">
        <v>47</v>
      </c>
      <c r="B53" s="51" t="s">
        <v>187</v>
      </c>
      <c r="C53" s="52"/>
      <c r="D53" s="9">
        <v>10</v>
      </c>
      <c r="E53" s="31">
        <v>4602</v>
      </c>
      <c r="F53" s="31">
        <f t="shared" si="0"/>
        <v>46020</v>
      </c>
      <c r="G53" s="32">
        <f t="shared" si="1"/>
        <v>5107.04</v>
      </c>
      <c r="H53" s="33">
        <f t="shared" si="2"/>
        <v>51070.400000000001</v>
      </c>
      <c r="I53" s="33">
        <v>4696.3999999999996</v>
      </c>
      <c r="J53" s="33">
        <f t="shared" si="3"/>
        <v>46964</v>
      </c>
      <c r="M53">
        <v>4328</v>
      </c>
    </row>
    <row r="54" spans="1:13" ht="32.1" customHeight="1" x14ac:dyDescent="0.2">
      <c r="A54" s="5">
        <v>48</v>
      </c>
      <c r="B54" s="53" t="s">
        <v>188</v>
      </c>
      <c r="C54" s="54"/>
      <c r="D54" s="9">
        <v>100</v>
      </c>
      <c r="E54" s="31">
        <v>481.44</v>
      </c>
      <c r="F54" s="31">
        <f t="shared" si="0"/>
        <v>48144</v>
      </c>
      <c r="G54" s="32">
        <f t="shared" si="1"/>
        <v>553.41999999999996</v>
      </c>
      <c r="H54" s="33">
        <f t="shared" si="2"/>
        <v>55341.999999999993</v>
      </c>
      <c r="I54" s="33">
        <v>489.7</v>
      </c>
      <c r="J54" s="33">
        <f t="shared" si="3"/>
        <v>48970</v>
      </c>
      <c r="M54">
        <v>469</v>
      </c>
    </row>
    <row r="55" spans="1:13" ht="32.1" customHeight="1" x14ac:dyDescent="0.2">
      <c r="A55" s="5">
        <v>49</v>
      </c>
      <c r="B55" s="53" t="s">
        <v>189</v>
      </c>
      <c r="C55" s="54"/>
      <c r="D55" s="9">
        <v>10</v>
      </c>
      <c r="E55" s="31">
        <v>312.94</v>
      </c>
      <c r="F55" s="31">
        <f t="shared" si="0"/>
        <v>3129.4</v>
      </c>
      <c r="G55" s="32">
        <f t="shared" si="1"/>
        <v>365.8</v>
      </c>
      <c r="H55" s="33">
        <f t="shared" si="2"/>
        <v>3658</v>
      </c>
      <c r="I55" s="33">
        <v>318.60000000000002</v>
      </c>
      <c r="J55" s="33">
        <f t="shared" si="3"/>
        <v>3186</v>
      </c>
      <c r="M55">
        <v>310</v>
      </c>
    </row>
    <row r="56" spans="1:13" ht="32.1" customHeight="1" x14ac:dyDescent="0.2">
      <c r="A56" s="5">
        <v>50</v>
      </c>
      <c r="B56" s="51" t="s">
        <v>190</v>
      </c>
      <c r="C56" s="52"/>
      <c r="D56" s="9">
        <v>50</v>
      </c>
      <c r="E56" s="31">
        <v>25.58</v>
      </c>
      <c r="F56" s="31">
        <f t="shared" si="0"/>
        <v>1279</v>
      </c>
      <c r="G56" s="32">
        <f t="shared" si="1"/>
        <v>34.22</v>
      </c>
      <c r="H56" s="33">
        <f t="shared" si="2"/>
        <v>1711</v>
      </c>
      <c r="I56" s="33">
        <v>29.5</v>
      </c>
      <c r="J56" s="33">
        <f t="shared" si="3"/>
        <v>1475</v>
      </c>
      <c r="M56">
        <v>29</v>
      </c>
    </row>
    <row r="57" spans="1:13" ht="32.1" customHeight="1" x14ac:dyDescent="0.2">
      <c r="A57" s="5">
        <v>51</v>
      </c>
      <c r="B57" s="51" t="s">
        <v>191</v>
      </c>
      <c r="C57" s="52"/>
      <c r="D57" s="9">
        <v>200</v>
      </c>
      <c r="E57" s="31">
        <v>436.6</v>
      </c>
      <c r="F57" s="31">
        <f t="shared" si="0"/>
        <v>87320</v>
      </c>
      <c r="G57" s="32">
        <f t="shared" si="1"/>
        <v>512.12</v>
      </c>
      <c r="H57" s="33">
        <f t="shared" si="2"/>
        <v>102424</v>
      </c>
      <c r="I57" s="33">
        <v>442.5</v>
      </c>
      <c r="J57" s="33">
        <f t="shared" si="3"/>
        <v>88500</v>
      </c>
      <c r="M57">
        <v>434</v>
      </c>
    </row>
    <row r="58" spans="1:13" ht="32.1" customHeight="1" x14ac:dyDescent="0.2">
      <c r="A58" s="5">
        <v>52</v>
      </c>
      <c r="B58" s="51" t="s">
        <v>192</v>
      </c>
      <c r="C58" s="52"/>
      <c r="D58" s="9">
        <v>15</v>
      </c>
      <c r="E58" s="31">
        <v>630.69000000000005</v>
      </c>
      <c r="F58" s="31">
        <f t="shared" si="0"/>
        <v>9460.35</v>
      </c>
      <c r="G58" s="32">
        <f t="shared" si="1"/>
        <v>731.6</v>
      </c>
      <c r="H58" s="33">
        <f t="shared" si="2"/>
        <v>10974</v>
      </c>
      <c r="I58" s="33">
        <v>637.20000000000005</v>
      </c>
      <c r="J58" s="33">
        <f t="shared" si="3"/>
        <v>9558</v>
      </c>
      <c r="M58">
        <v>620</v>
      </c>
    </row>
    <row r="59" spans="1:13" ht="32.1" customHeight="1" x14ac:dyDescent="0.2">
      <c r="A59" s="5">
        <v>53</v>
      </c>
      <c r="B59" s="51" t="s">
        <v>193</v>
      </c>
      <c r="C59" s="52"/>
      <c r="D59" s="9">
        <v>120</v>
      </c>
      <c r="E59" s="31">
        <v>1593</v>
      </c>
      <c r="F59" s="31">
        <f t="shared" si="0"/>
        <v>191160</v>
      </c>
      <c r="G59" s="32">
        <f t="shared" si="1"/>
        <v>1858.5</v>
      </c>
      <c r="H59" s="33">
        <f t="shared" si="2"/>
        <v>223020</v>
      </c>
      <c r="I59" s="33">
        <v>1604.8</v>
      </c>
      <c r="J59" s="33">
        <f t="shared" si="3"/>
        <v>192576</v>
      </c>
      <c r="M59">
        <v>1575</v>
      </c>
    </row>
    <row r="60" spans="1:13" ht="32.1" customHeight="1" x14ac:dyDescent="0.2">
      <c r="A60" s="5">
        <v>54</v>
      </c>
      <c r="B60" s="51" t="s">
        <v>194</v>
      </c>
      <c r="C60" s="52"/>
      <c r="D60" s="9">
        <v>30</v>
      </c>
      <c r="E60" s="31">
        <v>1023.06</v>
      </c>
      <c r="F60" s="31">
        <f t="shared" si="0"/>
        <v>30691.8</v>
      </c>
      <c r="G60" s="32">
        <f t="shared" si="1"/>
        <v>1165.8399999999999</v>
      </c>
      <c r="H60" s="33">
        <f t="shared" si="2"/>
        <v>34975.199999999997</v>
      </c>
      <c r="I60" s="33">
        <v>1032.5</v>
      </c>
      <c r="J60" s="33">
        <f t="shared" si="3"/>
        <v>30975</v>
      </c>
      <c r="M60">
        <v>988</v>
      </c>
    </row>
    <row r="61" spans="1:13" ht="32.1" customHeight="1" x14ac:dyDescent="0.2">
      <c r="A61" s="5">
        <v>55</v>
      </c>
      <c r="B61" s="51" t="s">
        <v>195</v>
      </c>
      <c r="C61" s="52"/>
      <c r="D61" s="9">
        <v>30</v>
      </c>
      <c r="E61" s="31">
        <v>481.44</v>
      </c>
      <c r="F61" s="31">
        <f t="shared" si="0"/>
        <v>14443.2</v>
      </c>
      <c r="G61" s="32">
        <f t="shared" si="1"/>
        <v>564.04</v>
      </c>
      <c r="H61" s="33">
        <f t="shared" si="2"/>
        <v>16921.199999999997</v>
      </c>
      <c r="I61" s="33">
        <v>489.7</v>
      </c>
      <c r="J61" s="33">
        <f t="shared" si="3"/>
        <v>14691</v>
      </c>
      <c r="M61">
        <v>478</v>
      </c>
    </row>
    <row r="62" spans="1:13" ht="32.1" customHeight="1" x14ac:dyDescent="0.2">
      <c r="A62" s="5">
        <v>56</v>
      </c>
      <c r="B62" s="51" t="s">
        <v>196</v>
      </c>
      <c r="C62" s="52"/>
      <c r="D62" s="9">
        <v>150</v>
      </c>
      <c r="E62" s="31">
        <v>204.61</v>
      </c>
      <c r="F62" s="31">
        <f t="shared" si="0"/>
        <v>30691.500000000004</v>
      </c>
      <c r="G62" s="32">
        <f t="shared" si="1"/>
        <v>241.9</v>
      </c>
      <c r="H62" s="33">
        <f t="shared" si="2"/>
        <v>36285</v>
      </c>
      <c r="I62" s="33">
        <v>212.4</v>
      </c>
      <c r="J62" s="33">
        <f t="shared" si="3"/>
        <v>31860</v>
      </c>
      <c r="M62">
        <v>205</v>
      </c>
    </row>
    <row r="63" spans="1:13" ht="32.1" customHeight="1" x14ac:dyDescent="0.2">
      <c r="A63" s="5">
        <v>57</v>
      </c>
      <c r="B63" s="51" t="s">
        <v>197</v>
      </c>
      <c r="C63" s="52"/>
      <c r="D63" s="9">
        <v>100</v>
      </c>
      <c r="E63" s="31">
        <v>4814.3999999999996</v>
      </c>
      <c r="F63" s="31">
        <f t="shared" si="0"/>
        <v>481439.99999999994</v>
      </c>
      <c r="G63" s="32">
        <f t="shared" si="1"/>
        <v>5522.4</v>
      </c>
      <c r="H63" s="33">
        <f t="shared" si="2"/>
        <v>552240</v>
      </c>
      <c r="I63" s="33">
        <v>4897</v>
      </c>
      <c r="J63" s="33">
        <f t="shared" si="3"/>
        <v>489700</v>
      </c>
      <c r="M63">
        <v>4680</v>
      </c>
    </row>
    <row r="64" spans="1:13" ht="32.1" customHeight="1" x14ac:dyDescent="0.2">
      <c r="A64" s="5">
        <v>58</v>
      </c>
      <c r="B64" s="51" t="s">
        <v>198</v>
      </c>
      <c r="C64" s="52"/>
      <c r="D64" s="9">
        <v>100</v>
      </c>
      <c r="E64" s="31">
        <v>4720</v>
      </c>
      <c r="F64" s="31">
        <f t="shared" si="0"/>
        <v>472000</v>
      </c>
      <c r="G64" s="32">
        <f t="shared" si="1"/>
        <v>6124.2</v>
      </c>
      <c r="H64" s="33">
        <f t="shared" si="2"/>
        <v>612420</v>
      </c>
      <c r="I64" s="33">
        <v>5333.6</v>
      </c>
      <c r="J64" s="33">
        <f t="shared" si="3"/>
        <v>533360</v>
      </c>
      <c r="M64">
        <v>5190</v>
      </c>
    </row>
    <row r="65" spans="1:13" ht="32.1" customHeight="1" x14ac:dyDescent="0.2">
      <c r="A65" s="5">
        <v>59</v>
      </c>
      <c r="B65" s="51" t="s">
        <v>199</v>
      </c>
      <c r="C65" s="52"/>
      <c r="D65" s="9">
        <v>70</v>
      </c>
      <c r="E65" s="31">
        <v>5900</v>
      </c>
      <c r="F65" s="31">
        <f t="shared" si="0"/>
        <v>413000</v>
      </c>
      <c r="G65" s="32">
        <f t="shared" si="1"/>
        <v>6832.2</v>
      </c>
      <c r="H65" s="33">
        <f t="shared" si="2"/>
        <v>478254</v>
      </c>
      <c r="I65" s="33">
        <v>6466.4</v>
      </c>
      <c r="J65" s="33">
        <f t="shared" si="3"/>
        <v>452648</v>
      </c>
      <c r="M65">
        <v>5790</v>
      </c>
    </row>
    <row r="66" spans="1:13" ht="32.1" customHeight="1" x14ac:dyDescent="0.2">
      <c r="A66" s="5">
        <v>60</v>
      </c>
      <c r="B66" s="51" t="s">
        <v>200</v>
      </c>
      <c r="C66" s="52"/>
      <c r="D66" s="9">
        <v>25</v>
      </c>
      <c r="E66" s="31">
        <v>8850</v>
      </c>
      <c r="F66" s="31">
        <f t="shared" si="0"/>
        <v>221250</v>
      </c>
      <c r="G66" s="32">
        <f t="shared" si="1"/>
        <v>10596.4</v>
      </c>
      <c r="H66" s="33">
        <f t="shared" si="2"/>
        <v>264910</v>
      </c>
      <c r="I66" s="33">
        <v>9263</v>
      </c>
      <c r="J66" s="33">
        <f t="shared" si="3"/>
        <v>231575</v>
      </c>
      <c r="M66">
        <v>8980</v>
      </c>
    </row>
    <row r="67" spans="1:13" ht="32.1" customHeight="1" x14ac:dyDescent="0.2">
      <c r="A67" s="5">
        <v>61</v>
      </c>
      <c r="B67" s="51" t="s">
        <v>201</v>
      </c>
      <c r="C67" s="52"/>
      <c r="D67" s="9">
        <v>50</v>
      </c>
      <c r="E67" s="31">
        <v>866.59</v>
      </c>
      <c r="F67" s="31">
        <f t="shared" si="0"/>
        <v>43329.5</v>
      </c>
      <c r="G67" s="32">
        <f t="shared" si="1"/>
        <v>975.86</v>
      </c>
      <c r="H67" s="33">
        <f t="shared" si="2"/>
        <v>48793</v>
      </c>
      <c r="I67" s="33">
        <v>873.2</v>
      </c>
      <c r="J67" s="33">
        <f t="shared" si="3"/>
        <v>43660</v>
      </c>
      <c r="M67">
        <v>827</v>
      </c>
    </row>
    <row r="68" spans="1:13" ht="32.1" customHeight="1" x14ac:dyDescent="0.2">
      <c r="A68" s="5">
        <v>62</v>
      </c>
      <c r="B68" s="51" t="s">
        <v>202</v>
      </c>
      <c r="C68" s="52"/>
      <c r="D68" s="9">
        <v>50</v>
      </c>
      <c r="E68" s="31">
        <v>1155.46</v>
      </c>
      <c r="F68" s="31">
        <f t="shared" si="0"/>
        <v>57773</v>
      </c>
      <c r="G68" s="32">
        <f t="shared" si="1"/>
        <v>1309.8</v>
      </c>
      <c r="H68" s="33">
        <f t="shared" si="2"/>
        <v>65490</v>
      </c>
      <c r="I68" s="33">
        <v>1168.2</v>
      </c>
      <c r="J68" s="33">
        <f t="shared" si="3"/>
        <v>58410</v>
      </c>
      <c r="M68">
        <v>1110</v>
      </c>
    </row>
    <row r="69" spans="1:13" ht="32.1" customHeight="1" x14ac:dyDescent="0.2">
      <c r="A69" s="5">
        <v>63</v>
      </c>
      <c r="B69" s="51" t="s">
        <v>203</v>
      </c>
      <c r="C69" s="52"/>
      <c r="D69" s="9">
        <v>500</v>
      </c>
      <c r="E69" s="31">
        <v>2832</v>
      </c>
      <c r="F69" s="31">
        <f t="shared" si="0"/>
        <v>1416000</v>
      </c>
      <c r="G69" s="32">
        <f t="shared" si="1"/>
        <v>3292.2</v>
      </c>
      <c r="H69" s="33">
        <f t="shared" si="2"/>
        <v>1646100</v>
      </c>
      <c r="I69" s="33">
        <v>2926.4</v>
      </c>
      <c r="J69" s="33">
        <f t="shared" si="3"/>
        <v>1463200</v>
      </c>
      <c r="M69">
        <v>2790</v>
      </c>
    </row>
    <row r="70" spans="1:13" ht="32.1" customHeight="1" x14ac:dyDescent="0.2">
      <c r="A70" s="5">
        <v>64</v>
      </c>
      <c r="B70" s="51" t="s">
        <v>204</v>
      </c>
      <c r="C70" s="52"/>
      <c r="D70" s="9">
        <v>120</v>
      </c>
      <c r="E70" s="31">
        <v>541.62</v>
      </c>
      <c r="F70" s="31">
        <f t="shared" si="0"/>
        <v>64994.400000000001</v>
      </c>
      <c r="G70" s="32">
        <f t="shared" si="1"/>
        <v>631.29999999999995</v>
      </c>
      <c r="H70" s="33">
        <f t="shared" si="2"/>
        <v>75756</v>
      </c>
      <c r="I70" s="33">
        <v>548.70000000000005</v>
      </c>
      <c r="J70" s="33">
        <f t="shared" si="3"/>
        <v>65844</v>
      </c>
      <c r="M70">
        <v>535</v>
      </c>
    </row>
    <row r="71" spans="1:13" ht="32.1" customHeight="1" x14ac:dyDescent="0.2">
      <c r="A71" s="5">
        <v>65</v>
      </c>
      <c r="B71" s="51" t="s">
        <v>205</v>
      </c>
      <c r="C71" s="52"/>
      <c r="D71" s="9">
        <v>15</v>
      </c>
      <c r="E71" s="31">
        <v>2407.1999999999998</v>
      </c>
      <c r="F71" s="31">
        <f t="shared" si="0"/>
        <v>36108</v>
      </c>
      <c r="G71" s="32">
        <f t="shared" si="1"/>
        <v>2873.3</v>
      </c>
      <c r="H71" s="33">
        <f t="shared" si="2"/>
        <v>43099.5</v>
      </c>
      <c r="I71" s="33">
        <v>2489.8000000000002</v>
      </c>
      <c r="J71" s="33">
        <f t="shared" si="3"/>
        <v>37347</v>
      </c>
      <c r="M71">
        <v>2435</v>
      </c>
    </row>
    <row r="72" spans="1:13" ht="32.1" customHeight="1" x14ac:dyDescent="0.2">
      <c r="A72" s="5">
        <v>66</v>
      </c>
      <c r="B72" s="53" t="s">
        <v>206</v>
      </c>
      <c r="C72" s="54"/>
      <c r="D72" s="9">
        <v>150</v>
      </c>
      <c r="E72" s="31">
        <v>505.51</v>
      </c>
      <c r="F72" s="31">
        <f t="shared" ref="F72:F100" si="4">E72*D72</f>
        <v>75826.5</v>
      </c>
      <c r="G72" s="32">
        <f t="shared" ref="G72:G100" si="5">M72*0.18+M72</f>
        <v>584.1</v>
      </c>
      <c r="H72" s="33">
        <f t="shared" ref="H72:H100" si="6">G72*D72</f>
        <v>87615</v>
      </c>
      <c r="I72" s="33">
        <v>519.20000000000005</v>
      </c>
      <c r="J72" s="33">
        <f t="shared" ref="J72:J100" si="7">I72*D72</f>
        <v>77880</v>
      </c>
      <c r="M72">
        <v>495</v>
      </c>
    </row>
    <row r="73" spans="1:13" ht="32.1" customHeight="1" x14ac:dyDescent="0.2">
      <c r="A73" s="5">
        <v>67</v>
      </c>
      <c r="B73" s="51" t="s">
        <v>207</v>
      </c>
      <c r="C73" s="52"/>
      <c r="D73" s="9">
        <v>70</v>
      </c>
      <c r="E73" s="31">
        <v>3851.52</v>
      </c>
      <c r="F73" s="31">
        <f t="shared" si="4"/>
        <v>269606.40000000002</v>
      </c>
      <c r="G73" s="32">
        <f t="shared" si="5"/>
        <v>4472.2</v>
      </c>
      <c r="H73" s="33">
        <f t="shared" si="6"/>
        <v>313054</v>
      </c>
      <c r="I73" s="33">
        <v>3876.3</v>
      </c>
      <c r="J73" s="33">
        <f t="shared" si="7"/>
        <v>271341</v>
      </c>
      <c r="M73">
        <v>3790</v>
      </c>
    </row>
    <row r="74" spans="1:13" ht="32.1" customHeight="1" x14ac:dyDescent="0.2">
      <c r="A74" s="5">
        <v>68</v>
      </c>
      <c r="B74" s="51" t="s">
        <v>208</v>
      </c>
      <c r="C74" s="52"/>
      <c r="D74" s="9">
        <v>70</v>
      </c>
      <c r="E74" s="31">
        <v>5175.4799999999996</v>
      </c>
      <c r="F74" s="31">
        <f t="shared" si="4"/>
        <v>362283.6</v>
      </c>
      <c r="G74" s="32">
        <f t="shared" si="5"/>
        <v>6348.4</v>
      </c>
      <c r="H74" s="33">
        <f t="shared" si="6"/>
        <v>444388</v>
      </c>
      <c r="I74" s="33">
        <v>5605</v>
      </c>
      <c r="J74" s="33">
        <f t="shared" si="7"/>
        <v>392350</v>
      </c>
      <c r="M74">
        <v>5380</v>
      </c>
    </row>
    <row r="75" spans="1:13" ht="32.1" customHeight="1" x14ac:dyDescent="0.2">
      <c r="A75" s="5">
        <v>69</v>
      </c>
      <c r="B75" s="53" t="s">
        <v>209</v>
      </c>
      <c r="C75" s="54"/>
      <c r="D75" s="9">
        <v>5</v>
      </c>
      <c r="E75" s="31">
        <v>1179.53</v>
      </c>
      <c r="F75" s="31">
        <f t="shared" si="4"/>
        <v>5897.65</v>
      </c>
      <c r="G75" s="32">
        <f t="shared" si="5"/>
        <v>1404.2</v>
      </c>
      <c r="H75" s="33">
        <f t="shared" si="6"/>
        <v>7021</v>
      </c>
      <c r="I75" s="33">
        <v>1221.3</v>
      </c>
      <c r="J75" s="33">
        <f t="shared" si="7"/>
        <v>6106.5</v>
      </c>
      <c r="M75">
        <v>1190</v>
      </c>
    </row>
    <row r="76" spans="1:13" ht="32.1" customHeight="1" x14ac:dyDescent="0.2">
      <c r="A76" s="5">
        <v>70</v>
      </c>
      <c r="B76" s="51" t="s">
        <v>210</v>
      </c>
      <c r="C76" s="52"/>
      <c r="D76" s="9">
        <v>120</v>
      </c>
      <c r="E76" s="31">
        <v>1143.42</v>
      </c>
      <c r="F76" s="31">
        <f t="shared" si="4"/>
        <v>137210.40000000002</v>
      </c>
      <c r="G76" s="32">
        <f t="shared" si="5"/>
        <v>1339.3</v>
      </c>
      <c r="H76" s="33">
        <f t="shared" si="6"/>
        <v>160716</v>
      </c>
      <c r="I76" s="33">
        <v>1168.2</v>
      </c>
      <c r="J76" s="33">
        <f t="shared" si="7"/>
        <v>140184</v>
      </c>
      <c r="M76">
        <v>1135</v>
      </c>
    </row>
    <row r="77" spans="1:13" ht="32.1" customHeight="1" x14ac:dyDescent="0.2">
      <c r="A77" s="5">
        <v>71</v>
      </c>
      <c r="B77" s="51" t="s">
        <v>211</v>
      </c>
      <c r="C77" s="52"/>
      <c r="D77" s="9">
        <v>100</v>
      </c>
      <c r="E77" s="31">
        <v>625.87</v>
      </c>
      <c r="F77" s="31">
        <f t="shared" si="4"/>
        <v>62587</v>
      </c>
      <c r="G77" s="32">
        <f t="shared" si="5"/>
        <v>729.24</v>
      </c>
      <c r="H77" s="33">
        <f t="shared" si="6"/>
        <v>72924</v>
      </c>
      <c r="I77" s="33">
        <v>637.20000000000005</v>
      </c>
      <c r="J77" s="33">
        <f t="shared" si="7"/>
        <v>63720.000000000007</v>
      </c>
      <c r="M77">
        <v>618</v>
      </c>
    </row>
    <row r="78" spans="1:13" ht="32.1" customHeight="1" x14ac:dyDescent="0.2">
      <c r="A78" s="5">
        <v>72</v>
      </c>
      <c r="B78" s="51" t="s">
        <v>212</v>
      </c>
      <c r="C78" s="52"/>
      <c r="D78" s="9">
        <v>10</v>
      </c>
      <c r="E78" s="31">
        <v>7221.6</v>
      </c>
      <c r="F78" s="31">
        <f t="shared" si="4"/>
        <v>72216</v>
      </c>
      <c r="G78" s="32">
        <f t="shared" si="5"/>
        <v>8236.4</v>
      </c>
      <c r="H78" s="33">
        <f t="shared" si="6"/>
        <v>82364</v>
      </c>
      <c r="I78" s="33">
        <v>7493</v>
      </c>
      <c r="J78" s="33">
        <f t="shared" si="7"/>
        <v>74930</v>
      </c>
      <c r="M78">
        <v>6980</v>
      </c>
    </row>
    <row r="79" spans="1:13" ht="32.1" customHeight="1" x14ac:dyDescent="0.2">
      <c r="A79" s="5">
        <v>73</v>
      </c>
      <c r="B79" s="51" t="s">
        <v>213</v>
      </c>
      <c r="C79" s="52"/>
      <c r="D79" s="9">
        <v>10</v>
      </c>
      <c r="E79" s="31">
        <v>8665.92</v>
      </c>
      <c r="F79" s="31">
        <f t="shared" si="4"/>
        <v>86659.199999999997</v>
      </c>
      <c r="G79" s="32">
        <f t="shared" si="5"/>
        <v>10254.200000000001</v>
      </c>
      <c r="H79" s="33">
        <f t="shared" si="6"/>
        <v>102542</v>
      </c>
      <c r="I79" s="33">
        <v>9251.2000000000007</v>
      </c>
      <c r="J79" s="33">
        <f t="shared" si="7"/>
        <v>92512</v>
      </c>
      <c r="M79">
        <v>8690</v>
      </c>
    </row>
    <row r="80" spans="1:13" ht="32.1" customHeight="1" x14ac:dyDescent="0.2">
      <c r="A80" s="5">
        <v>74</v>
      </c>
      <c r="B80" s="51" t="s">
        <v>214</v>
      </c>
      <c r="C80" s="52"/>
      <c r="D80" s="9">
        <v>30</v>
      </c>
      <c r="E80" s="31">
        <v>1155.46</v>
      </c>
      <c r="F80" s="31">
        <f t="shared" si="4"/>
        <v>34663.800000000003</v>
      </c>
      <c r="G80" s="32">
        <f t="shared" si="5"/>
        <v>1339.3</v>
      </c>
      <c r="H80" s="33">
        <f t="shared" si="6"/>
        <v>40179</v>
      </c>
      <c r="I80" s="33">
        <v>1168.2</v>
      </c>
      <c r="J80" s="33">
        <f t="shared" si="7"/>
        <v>35046</v>
      </c>
      <c r="M80">
        <v>1135</v>
      </c>
    </row>
    <row r="81" spans="1:13" ht="32.1" customHeight="1" x14ac:dyDescent="0.2">
      <c r="A81" s="5">
        <v>75</v>
      </c>
      <c r="B81" s="51" t="s">
        <v>215</v>
      </c>
      <c r="C81" s="52"/>
      <c r="D81" s="9">
        <v>30</v>
      </c>
      <c r="E81" s="31">
        <v>1444.32</v>
      </c>
      <c r="F81" s="31">
        <f t="shared" si="4"/>
        <v>43329.599999999999</v>
      </c>
      <c r="G81" s="32">
        <f t="shared" si="5"/>
        <v>1669.7</v>
      </c>
      <c r="H81" s="33">
        <f t="shared" si="6"/>
        <v>50091</v>
      </c>
      <c r="I81" s="33">
        <v>1475</v>
      </c>
      <c r="J81" s="33">
        <f t="shared" si="7"/>
        <v>44250</v>
      </c>
      <c r="M81">
        <v>1415</v>
      </c>
    </row>
    <row r="82" spans="1:13" ht="32.1" customHeight="1" x14ac:dyDescent="0.2">
      <c r="A82" s="5">
        <v>76</v>
      </c>
      <c r="B82" s="53" t="s">
        <v>216</v>
      </c>
      <c r="C82" s="54"/>
      <c r="D82" s="9">
        <v>20</v>
      </c>
      <c r="E82" s="31">
        <v>661.98</v>
      </c>
      <c r="F82" s="31">
        <f t="shared" si="4"/>
        <v>13239.6</v>
      </c>
      <c r="G82" s="32">
        <f t="shared" si="5"/>
        <v>777.62</v>
      </c>
      <c r="H82" s="33">
        <f t="shared" si="6"/>
        <v>15552.4</v>
      </c>
      <c r="I82" s="33">
        <v>672.6</v>
      </c>
      <c r="J82" s="33">
        <f t="shared" si="7"/>
        <v>13452</v>
      </c>
      <c r="M82">
        <v>659</v>
      </c>
    </row>
    <row r="83" spans="1:13" ht="32.1" customHeight="1" x14ac:dyDescent="0.2">
      <c r="A83" s="5">
        <v>77</v>
      </c>
      <c r="B83" s="53" t="s">
        <v>217</v>
      </c>
      <c r="C83" s="54"/>
      <c r="D83" s="9">
        <v>20</v>
      </c>
      <c r="E83" s="31">
        <v>661.98</v>
      </c>
      <c r="F83" s="31">
        <f t="shared" si="4"/>
        <v>13239.6</v>
      </c>
      <c r="G83" s="32">
        <f t="shared" si="5"/>
        <v>777.62</v>
      </c>
      <c r="H83" s="33">
        <f t="shared" si="6"/>
        <v>15552.4</v>
      </c>
      <c r="I83" s="33">
        <v>672.6</v>
      </c>
      <c r="J83" s="33">
        <f t="shared" si="7"/>
        <v>13452</v>
      </c>
      <c r="M83">
        <v>659</v>
      </c>
    </row>
    <row r="84" spans="1:13" ht="32.1" customHeight="1" x14ac:dyDescent="0.2">
      <c r="A84" s="5">
        <v>78</v>
      </c>
      <c r="B84" s="53" t="s">
        <v>218</v>
      </c>
      <c r="C84" s="54"/>
      <c r="D84" s="9">
        <v>10</v>
      </c>
      <c r="E84" s="31">
        <v>15045</v>
      </c>
      <c r="F84" s="31">
        <f t="shared" si="4"/>
        <v>150450</v>
      </c>
      <c r="G84" s="32">
        <f t="shared" si="5"/>
        <v>17676.400000000001</v>
      </c>
      <c r="H84" s="33">
        <f t="shared" si="6"/>
        <v>176764</v>
      </c>
      <c r="I84" s="33">
        <v>15623.2</v>
      </c>
      <c r="J84" s="33">
        <f t="shared" si="7"/>
        <v>156232</v>
      </c>
      <c r="M84">
        <v>14980</v>
      </c>
    </row>
    <row r="85" spans="1:13" ht="32.1" customHeight="1" x14ac:dyDescent="0.2">
      <c r="A85" s="5">
        <v>79</v>
      </c>
      <c r="B85" s="53" t="s">
        <v>219</v>
      </c>
      <c r="C85" s="54"/>
      <c r="D85" s="9">
        <v>30</v>
      </c>
      <c r="E85" s="31">
        <v>2596</v>
      </c>
      <c r="F85" s="31">
        <f t="shared" si="4"/>
        <v>77880</v>
      </c>
      <c r="G85" s="32">
        <f t="shared" si="5"/>
        <v>3292.2</v>
      </c>
      <c r="H85" s="33">
        <f t="shared" si="6"/>
        <v>98766</v>
      </c>
      <c r="I85" s="33">
        <v>2926.4</v>
      </c>
      <c r="J85" s="33">
        <f t="shared" si="7"/>
        <v>87792</v>
      </c>
      <c r="M85">
        <v>2790</v>
      </c>
    </row>
    <row r="86" spans="1:13" ht="32.1" customHeight="1" x14ac:dyDescent="0.2">
      <c r="A86" s="5">
        <v>80</v>
      </c>
      <c r="B86" s="53" t="s">
        <v>220</v>
      </c>
      <c r="C86" s="54"/>
      <c r="D86" s="9">
        <v>30</v>
      </c>
      <c r="E86" s="31">
        <v>2183</v>
      </c>
      <c r="F86" s="31">
        <f t="shared" si="4"/>
        <v>65490</v>
      </c>
      <c r="G86" s="32">
        <f t="shared" si="5"/>
        <v>2584.1999999999998</v>
      </c>
      <c r="H86" s="33">
        <f t="shared" si="6"/>
        <v>77526</v>
      </c>
      <c r="I86" s="33">
        <v>2336.4</v>
      </c>
      <c r="J86" s="33">
        <f t="shared" si="7"/>
        <v>70092</v>
      </c>
      <c r="M86">
        <v>2190</v>
      </c>
    </row>
    <row r="87" spans="1:13" ht="32.1" customHeight="1" x14ac:dyDescent="0.2">
      <c r="A87" s="5">
        <v>81</v>
      </c>
      <c r="B87" s="53" t="s">
        <v>221</v>
      </c>
      <c r="C87" s="54"/>
      <c r="D87" s="9">
        <v>10</v>
      </c>
      <c r="E87" s="31">
        <v>120.36</v>
      </c>
      <c r="F87" s="31">
        <f t="shared" si="4"/>
        <v>1203.5999999999999</v>
      </c>
      <c r="G87" s="32">
        <f t="shared" si="5"/>
        <v>147.5</v>
      </c>
      <c r="H87" s="33">
        <f t="shared" si="6"/>
        <v>1475</v>
      </c>
      <c r="I87" s="33">
        <v>129.80000000000001</v>
      </c>
      <c r="J87" s="33">
        <f t="shared" si="7"/>
        <v>1298</v>
      </c>
      <c r="M87">
        <v>125</v>
      </c>
    </row>
    <row r="88" spans="1:13" ht="32.1" customHeight="1" x14ac:dyDescent="0.2">
      <c r="A88" s="5">
        <v>82</v>
      </c>
      <c r="B88" s="53" t="s">
        <v>222</v>
      </c>
      <c r="C88" s="54"/>
      <c r="D88" s="9">
        <v>10</v>
      </c>
      <c r="E88" s="31">
        <v>661.98</v>
      </c>
      <c r="F88" s="31">
        <f t="shared" si="4"/>
        <v>6619.8</v>
      </c>
      <c r="G88" s="32">
        <f t="shared" si="5"/>
        <v>777.62</v>
      </c>
      <c r="H88" s="33">
        <f t="shared" si="6"/>
        <v>7776.2</v>
      </c>
      <c r="I88" s="33">
        <v>672.6</v>
      </c>
      <c r="J88" s="33">
        <f t="shared" si="7"/>
        <v>6726</v>
      </c>
      <c r="M88">
        <v>659</v>
      </c>
    </row>
    <row r="89" spans="1:13" ht="32.1" customHeight="1" x14ac:dyDescent="0.2">
      <c r="A89" s="5">
        <v>83</v>
      </c>
      <c r="B89" s="53" t="s">
        <v>223</v>
      </c>
      <c r="C89" s="54"/>
      <c r="D89" s="9">
        <v>10</v>
      </c>
      <c r="E89" s="31">
        <v>421.26</v>
      </c>
      <c r="F89" s="31">
        <f t="shared" si="4"/>
        <v>4212.6000000000004</v>
      </c>
      <c r="G89" s="32">
        <f t="shared" si="5"/>
        <v>493.24</v>
      </c>
      <c r="H89" s="33">
        <f t="shared" si="6"/>
        <v>4932.3999999999996</v>
      </c>
      <c r="I89" s="33">
        <v>430.7</v>
      </c>
      <c r="J89" s="33">
        <f t="shared" si="7"/>
        <v>4307</v>
      </c>
      <c r="M89">
        <v>418</v>
      </c>
    </row>
    <row r="90" spans="1:13" ht="32.1" customHeight="1" x14ac:dyDescent="0.2">
      <c r="A90" s="5">
        <v>84</v>
      </c>
      <c r="B90" s="51" t="s">
        <v>224</v>
      </c>
      <c r="C90" s="52"/>
      <c r="D90" s="9">
        <v>20</v>
      </c>
      <c r="E90" s="31">
        <v>12.04</v>
      </c>
      <c r="F90" s="31">
        <f t="shared" si="4"/>
        <v>240.79999999999998</v>
      </c>
      <c r="G90" s="32">
        <f t="shared" si="5"/>
        <v>16.52</v>
      </c>
      <c r="H90" s="33">
        <f t="shared" si="6"/>
        <v>330.4</v>
      </c>
      <c r="I90" s="33">
        <v>14.16</v>
      </c>
      <c r="J90" s="33">
        <f t="shared" si="7"/>
        <v>283.2</v>
      </c>
      <c r="M90">
        <v>14</v>
      </c>
    </row>
    <row r="91" spans="1:13" ht="32.1" customHeight="1" x14ac:dyDescent="0.2">
      <c r="A91" s="5">
        <v>85</v>
      </c>
      <c r="B91" s="53" t="s">
        <v>225</v>
      </c>
      <c r="C91" s="54"/>
      <c r="D91" s="9">
        <v>25</v>
      </c>
      <c r="E91" s="31">
        <v>743.4</v>
      </c>
      <c r="F91" s="31">
        <f t="shared" si="4"/>
        <v>18585</v>
      </c>
      <c r="G91" s="32">
        <f t="shared" si="5"/>
        <v>823.64</v>
      </c>
      <c r="H91" s="33">
        <f t="shared" si="6"/>
        <v>20591</v>
      </c>
      <c r="I91" s="33">
        <v>755.2</v>
      </c>
      <c r="J91" s="33">
        <f t="shared" si="7"/>
        <v>18880</v>
      </c>
      <c r="M91">
        <v>698</v>
      </c>
    </row>
    <row r="92" spans="1:13" ht="32.1" customHeight="1" x14ac:dyDescent="0.2">
      <c r="A92" s="5">
        <v>86</v>
      </c>
      <c r="B92" s="51" t="s">
        <v>226</v>
      </c>
      <c r="C92" s="52"/>
      <c r="D92" s="9">
        <v>10</v>
      </c>
      <c r="E92" s="31">
        <v>805.35</v>
      </c>
      <c r="F92" s="31">
        <f t="shared" si="4"/>
        <v>8053.5</v>
      </c>
      <c r="G92" s="32">
        <f t="shared" si="5"/>
        <v>929.84</v>
      </c>
      <c r="H92" s="33">
        <f t="shared" si="6"/>
        <v>9298.4</v>
      </c>
      <c r="I92" s="33">
        <v>820.1</v>
      </c>
      <c r="J92" s="33">
        <f t="shared" si="7"/>
        <v>8201</v>
      </c>
      <c r="M92">
        <v>788</v>
      </c>
    </row>
    <row r="93" spans="1:13" ht="32.1" customHeight="1" x14ac:dyDescent="0.2">
      <c r="A93" s="5">
        <v>87</v>
      </c>
      <c r="B93" s="51" t="s">
        <v>227</v>
      </c>
      <c r="C93" s="52"/>
      <c r="D93" s="9">
        <v>10</v>
      </c>
      <c r="E93" s="31">
        <v>805.35</v>
      </c>
      <c r="F93" s="31">
        <f t="shared" si="4"/>
        <v>8053.5</v>
      </c>
      <c r="G93" s="32">
        <f t="shared" si="5"/>
        <v>929.84</v>
      </c>
      <c r="H93" s="33">
        <f t="shared" si="6"/>
        <v>9298.4</v>
      </c>
      <c r="I93" s="33">
        <v>820.1</v>
      </c>
      <c r="J93" s="33">
        <f t="shared" si="7"/>
        <v>8201</v>
      </c>
      <c r="M93">
        <v>788</v>
      </c>
    </row>
    <row r="94" spans="1:13" ht="32.1" customHeight="1" x14ac:dyDescent="0.2">
      <c r="A94" s="5">
        <v>88</v>
      </c>
      <c r="B94" s="51" t="s">
        <v>228</v>
      </c>
      <c r="C94" s="52"/>
      <c r="D94" s="9">
        <v>10</v>
      </c>
      <c r="E94" s="31">
        <v>805.35</v>
      </c>
      <c r="F94" s="31">
        <f t="shared" si="4"/>
        <v>8053.5</v>
      </c>
      <c r="G94" s="32">
        <f t="shared" si="5"/>
        <v>929.84</v>
      </c>
      <c r="H94" s="33">
        <f t="shared" si="6"/>
        <v>9298.4</v>
      </c>
      <c r="I94" s="33">
        <v>820.1</v>
      </c>
      <c r="J94" s="33">
        <f t="shared" si="7"/>
        <v>8201</v>
      </c>
      <c r="M94">
        <v>788</v>
      </c>
    </row>
    <row r="95" spans="1:13" ht="32.1" customHeight="1" x14ac:dyDescent="0.2">
      <c r="A95" s="5">
        <v>89</v>
      </c>
      <c r="B95" s="51" t="s">
        <v>229</v>
      </c>
      <c r="C95" s="52"/>
      <c r="D95" s="9">
        <v>10</v>
      </c>
      <c r="E95" s="31">
        <v>1177.05</v>
      </c>
      <c r="F95" s="31">
        <f t="shared" si="4"/>
        <v>11770.5</v>
      </c>
      <c r="G95" s="32">
        <f t="shared" si="5"/>
        <v>1390.04</v>
      </c>
      <c r="H95" s="33">
        <f t="shared" si="6"/>
        <v>13900.4</v>
      </c>
      <c r="I95" s="33">
        <v>1203.5999999999999</v>
      </c>
      <c r="J95" s="33">
        <f t="shared" si="7"/>
        <v>12036</v>
      </c>
      <c r="M95">
        <v>1178</v>
      </c>
    </row>
    <row r="96" spans="1:13" ht="32.1" customHeight="1" x14ac:dyDescent="0.2">
      <c r="A96" s="5">
        <v>90</v>
      </c>
      <c r="B96" s="51" t="s">
        <v>230</v>
      </c>
      <c r="C96" s="52"/>
      <c r="D96" s="9">
        <v>10</v>
      </c>
      <c r="E96" s="31">
        <v>805.35</v>
      </c>
      <c r="F96" s="31">
        <f t="shared" si="4"/>
        <v>8053.5</v>
      </c>
      <c r="G96" s="32">
        <f t="shared" si="5"/>
        <v>929.84</v>
      </c>
      <c r="H96" s="33">
        <f t="shared" si="6"/>
        <v>9298.4</v>
      </c>
      <c r="I96" s="33">
        <v>820.1</v>
      </c>
      <c r="J96" s="33">
        <f t="shared" si="7"/>
        <v>8201</v>
      </c>
      <c r="M96">
        <v>788</v>
      </c>
    </row>
    <row r="97" spans="1:13" ht="32.1" customHeight="1" x14ac:dyDescent="0.2">
      <c r="A97" s="5">
        <v>91</v>
      </c>
      <c r="B97" s="51" t="s">
        <v>231</v>
      </c>
      <c r="C97" s="52"/>
      <c r="D97" s="9">
        <v>10</v>
      </c>
      <c r="E97" s="31">
        <v>805.35</v>
      </c>
      <c r="F97" s="31">
        <f t="shared" si="4"/>
        <v>8053.5</v>
      </c>
      <c r="G97" s="32">
        <f t="shared" si="5"/>
        <v>929.84</v>
      </c>
      <c r="H97" s="33">
        <f t="shared" si="6"/>
        <v>9298.4</v>
      </c>
      <c r="I97" s="33">
        <v>820.1</v>
      </c>
      <c r="J97" s="33">
        <f t="shared" si="7"/>
        <v>8201</v>
      </c>
      <c r="M97">
        <v>788</v>
      </c>
    </row>
    <row r="98" spans="1:13" ht="32.1" customHeight="1" x14ac:dyDescent="0.2">
      <c r="A98" s="5">
        <v>92</v>
      </c>
      <c r="B98" s="51" t="s">
        <v>232</v>
      </c>
      <c r="C98" s="52"/>
      <c r="D98" s="9">
        <v>10</v>
      </c>
      <c r="E98" s="31">
        <v>1115.0999999999999</v>
      </c>
      <c r="F98" s="31">
        <f t="shared" si="4"/>
        <v>11151</v>
      </c>
      <c r="G98" s="32">
        <f t="shared" si="5"/>
        <v>1296.82</v>
      </c>
      <c r="H98" s="33">
        <f t="shared" si="6"/>
        <v>12968.199999999999</v>
      </c>
      <c r="I98" s="33">
        <v>1132.8</v>
      </c>
      <c r="J98" s="33">
        <f t="shared" si="7"/>
        <v>11328</v>
      </c>
      <c r="M98">
        <v>1099</v>
      </c>
    </row>
    <row r="99" spans="1:13" ht="32.1" customHeight="1" x14ac:dyDescent="0.2">
      <c r="A99" s="5">
        <v>93</v>
      </c>
      <c r="B99" s="51" t="s">
        <v>233</v>
      </c>
      <c r="C99" s="52"/>
      <c r="D99" s="9">
        <v>10</v>
      </c>
      <c r="E99" s="31">
        <v>805.35</v>
      </c>
      <c r="F99" s="31">
        <f t="shared" si="4"/>
        <v>8053.5</v>
      </c>
      <c r="G99" s="32">
        <f t="shared" si="5"/>
        <v>929.84</v>
      </c>
      <c r="H99" s="33">
        <f t="shared" si="6"/>
        <v>9298.4</v>
      </c>
      <c r="I99" s="33">
        <v>820.1</v>
      </c>
      <c r="J99" s="33">
        <f t="shared" si="7"/>
        <v>8201</v>
      </c>
      <c r="M99">
        <v>788</v>
      </c>
    </row>
    <row r="100" spans="1:13" ht="32.1" customHeight="1" x14ac:dyDescent="0.2">
      <c r="A100" s="17">
        <v>94</v>
      </c>
      <c r="B100" s="65" t="s">
        <v>234</v>
      </c>
      <c r="C100" s="66"/>
      <c r="D100" s="13">
        <v>10</v>
      </c>
      <c r="E100" s="35">
        <v>987.48</v>
      </c>
      <c r="F100" s="35">
        <f t="shared" si="4"/>
        <v>9874.7999999999993</v>
      </c>
      <c r="G100" s="36">
        <f t="shared" si="5"/>
        <v>1152.8599999999999</v>
      </c>
      <c r="H100" s="37">
        <f t="shared" si="6"/>
        <v>11528.599999999999</v>
      </c>
      <c r="I100" s="37">
        <v>1003</v>
      </c>
      <c r="J100" s="37">
        <f t="shared" si="7"/>
        <v>10030</v>
      </c>
      <c r="M100">
        <v>977</v>
      </c>
    </row>
    <row r="101" spans="1:13" s="16" customFormat="1" ht="32.1" customHeight="1" x14ac:dyDescent="0.2">
      <c r="A101" s="75" t="s">
        <v>244</v>
      </c>
      <c r="B101" s="75"/>
      <c r="C101" s="75"/>
      <c r="D101" s="75"/>
      <c r="E101" s="68">
        <f>SUM(F7:F100)</f>
        <v>10645984.100000001</v>
      </c>
      <c r="F101" s="68"/>
      <c r="G101" s="67">
        <f>SUM(H7:H100)</f>
        <v>12484051.900000002</v>
      </c>
      <c r="H101" s="67"/>
      <c r="I101" s="67">
        <f>SUM(J7:J100)</f>
        <v>11080795.899999999</v>
      </c>
      <c r="J101" s="67"/>
    </row>
    <row r="102" spans="1:13" s="18" customFormat="1" ht="88.5" customHeight="1" x14ac:dyDescent="0.25">
      <c r="B102" s="19"/>
      <c r="C102" s="19"/>
    </row>
    <row r="103" spans="1:13" s="18" customFormat="1" ht="15.75" x14ac:dyDescent="0.25">
      <c r="B103" s="19"/>
      <c r="C103" s="19"/>
    </row>
    <row r="104" spans="1:13" s="18" customFormat="1" ht="15.75" x14ac:dyDescent="0.25">
      <c r="A104" s="39" t="s">
        <v>245</v>
      </c>
      <c r="B104" s="39"/>
      <c r="C104" s="39"/>
      <c r="D104" s="39" t="s">
        <v>266</v>
      </c>
      <c r="E104" s="39"/>
      <c r="F104" s="39"/>
      <c r="G104" s="39"/>
      <c r="H104" s="39" t="s">
        <v>246</v>
      </c>
      <c r="I104" s="39"/>
      <c r="J104" s="39"/>
    </row>
    <row r="105" spans="1:13" s="18" customFormat="1" ht="15.75" x14ac:dyDescent="0.25">
      <c r="A105" s="40" t="s">
        <v>247</v>
      </c>
      <c r="B105" s="40"/>
      <c r="C105" s="40"/>
      <c r="D105" s="41" t="s">
        <v>248</v>
      </c>
      <c r="E105" s="41"/>
      <c r="F105" s="41"/>
      <c r="G105" s="41"/>
      <c r="H105" s="41" t="s">
        <v>247</v>
      </c>
      <c r="I105" s="41"/>
      <c r="J105" s="41"/>
    </row>
    <row r="106" spans="1:13" s="18" customFormat="1" ht="15" customHeight="1" x14ac:dyDescent="0.25">
      <c r="A106" s="40" t="s">
        <v>249</v>
      </c>
      <c r="B106" s="40"/>
      <c r="C106" s="40"/>
      <c r="D106" s="40" t="s">
        <v>249</v>
      </c>
      <c r="E106" s="40"/>
      <c r="F106" s="40"/>
      <c r="G106" s="40"/>
      <c r="H106" s="40" t="s">
        <v>249</v>
      </c>
      <c r="I106" s="40"/>
      <c r="J106" s="40"/>
    </row>
    <row r="107" spans="1:13" s="18" customFormat="1" ht="50.25" customHeight="1" x14ac:dyDescent="0.25">
      <c r="B107" s="19"/>
      <c r="C107" s="19"/>
    </row>
    <row r="108" spans="1:13" s="18" customFormat="1" ht="15.75" x14ac:dyDescent="0.25">
      <c r="B108" s="19"/>
      <c r="C108" s="19"/>
    </row>
    <row r="109" spans="1:13" s="18" customFormat="1" ht="15.75" x14ac:dyDescent="0.25">
      <c r="A109" s="39" t="s">
        <v>250</v>
      </c>
      <c r="B109" s="39"/>
      <c r="C109" s="39"/>
      <c r="E109" s="20"/>
      <c r="F109" s="20"/>
      <c r="H109" s="39" t="s">
        <v>251</v>
      </c>
      <c r="I109" s="39"/>
      <c r="J109" s="39"/>
    </row>
    <row r="110" spans="1:13" s="18" customFormat="1" ht="15.75" x14ac:dyDescent="0.25">
      <c r="A110" s="41" t="s">
        <v>252</v>
      </c>
      <c r="B110" s="41"/>
      <c r="C110" s="41"/>
      <c r="E110" s="21"/>
      <c r="F110" s="21"/>
      <c r="H110" s="41" t="s">
        <v>253</v>
      </c>
      <c r="I110" s="41"/>
      <c r="J110" s="41"/>
    </row>
    <row r="111" spans="1:13" s="18" customFormat="1" ht="15.75" x14ac:dyDescent="0.25">
      <c r="A111" s="40" t="s">
        <v>249</v>
      </c>
      <c r="B111" s="40"/>
      <c r="C111" s="40"/>
      <c r="E111" s="22"/>
      <c r="F111" s="22"/>
      <c r="H111" s="40" t="s">
        <v>249</v>
      </c>
      <c r="I111" s="40"/>
      <c r="J111" s="40"/>
    </row>
    <row r="112" spans="1:13" s="18" customFormat="1" ht="15.75" x14ac:dyDescent="0.25">
      <c r="A112" s="22"/>
      <c r="B112" s="22"/>
      <c r="C112" s="19"/>
      <c r="E112" s="22"/>
      <c r="F112" s="22"/>
      <c r="H112" s="22"/>
      <c r="I112" s="22"/>
    </row>
    <row r="113" spans="1:10" s="18" customFormat="1" ht="15.75" x14ac:dyDescent="0.25">
      <c r="A113" s="39" t="s">
        <v>254</v>
      </c>
      <c r="B113" s="39"/>
      <c r="C113" s="39"/>
      <c r="D113" s="39"/>
      <c r="E113" s="39"/>
      <c r="F113" s="39"/>
      <c r="G113" s="39"/>
      <c r="H113" s="39"/>
      <c r="I113" s="39"/>
      <c r="J113" s="39"/>
    </row>
    <row r="114" spans="1:10" s="18" customFormat="1" ht="15.75" x14ac:dyDescent="0.25">
      <c r="A114" s="41" t="s">
        <v>255</v>
      </c>
      <c r="B114" s="41"/>
      <c r="C114" s="41"/>
      <c r="D114" s="41"/>
      <c r="E114" s="41"/>
      <c r="F114" s="41"/>
      <c r="G114" s="41"/>
      <c r="H114" s="41"/>
      <c r="I114" s="41"/>
      <c r="J114" s="41"/>
    </row>
    <row r="115" spans="1:10" s="18" customFormat="1" ht="15.75" x14ac:dyDescent="0.25">
      <c r="A115" s="40" t="s">
        <v>267</v>
      </c>
      <c r="B115" s="40"/>
      <c r="C115" s="40"/>
      <c r="D115" s="40"/>
      <c r="E115" s="40"/>
      <c r="F115" s="40"/>
      <c r="G115" s="40"/>
      <c r="H115" s="40"/>
      <c r="I115" s="40"/>
      <c r="J115" s="40"/>
    </row>
  </sheetData>
  <mergeCells count="128">
    <mergeCell ref="A113:J113"/>
    <mergeCell ref="A114:J114"/>
    <mergeCell ref="A115:J115"/>
    <mergeCell ref="A106:C106"/>
    <mergeCell ref="D106:G106"/>
    <mergeCell ref="H106:J106"/>
    <mergeCell ref="A109:C109"/>
    <mergeCell ref="H109:J109"/>
    <mergeCell ref="A110:C110"/>
    <mergeCell ref="H110:J110"/>
    <mergeCell ref="A111:C111"/>
    <mergeCell ref="H111:J111"/>
    <mergeCell ref="A101:D101"/>
    <mergeCell ref="E101:F101"/>
    <mergeCell ref="G101:H101"/>
    <mergeCell ref="I101:J101"/>
    <mergeCell ref="A104:C104"/>
    <mergeCell ref="D104:G104"/>
    <mergeCell ref="H104:J104"/>
    <mergeCell ref="A105:C105"/>
    <mergeCell ref="D105:G105"/>
    <mergeCell ref="H105:J105"/>
    <mergeCell ref="B88:C88"/>
    <mergeCell ref="B89:C89"/>
    <mergeCell ref="B90:C90"/>
    <mergeCell ref="B91:C91"/>
    <mergeCell ref="B92:C92"/>
    <mergeCell ref="B93:C93"/>
    <mergeCell ref="B99:C99"/>
    <mergeCell ref="B100:C100"/>
    <mergeCell ref="B94:C94"/>
    <mergeCell ref="B95:C95"/>
    <mergeCell ref="B96:C96"/>
    <mergeCell ref="B97:C97"/>
    <mergeCell ref="B98:C9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6:C6"/>
    <mergeCell ref="A1:J1"/>
    <mergeCell ref="A2:J2"/>
    <mergeCell ref="A3:J3"/>
    <mergeCell ref="A4:A5"/>
    <mergeCell ref="B4:C5"/>
    <mergeCell ref="D4:F4"/>
    <mergeCell ref="G4:H4"/>
    <mergeCell ref="I4:J4"/>
    <mergeCell ref="D5:F5"/>
    <mergeCell ref="G5:H5"/>
    <mergeCell ref="I5:J5"/>
  </mergeCells>
  <printOptions horizontalCentered="1"/>
  <pageMargins left="0.31496062992125984" right="0.31496062992125984" top="0.70866141732283472" bottom="0.31496062992125984" header="0.31496062992125984" footer="0.31496062992125984"/>
  <pageSetup paperSize="9" scale="65" orientation="portrait" r:id="rId1"/>
  <headerFooter>
    <oddFooter>Page &amp;P of &amp;N</oddFooter>
  </headerFooter>
  <rowBreaks count="3" manualBreakCount="3">
    <brk id="34" max="9" man="1"/>
    <brk id="64" max="9" man="1"/>
    <brk id="92" max="9" man="1"/>
  </rowBreaks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LOT 1</vt:lpstr>
      <vt:lpstr>LOT 2</vt:lpstr>
      <vt:lpstr>LOT 3</vt:lpstr>
      <vt:lpstr>LOT 4</vt:lpstr>
      <vt:lpstr>'LOT 1'!Print_Area</vt:lpstr>
      <vt:lpstr>'LOT 3'!Print_Area</vt:lpstr>
      <vt:lpstr>'LOT 4'!Print_Area</vt:lpstr>
      <vt:lpstr>'LOT 1'!Print_Titles</vt:lpstr>
      <vt:lpstr>'LOT 2'!Print_Titles</vt:lpstr>
      <vt:lpstr>'LOT 4'!Print_Titles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 Mozzam Ali Bukhari</cp:lastModifiedBy>
  <cp:lastPrinted>2025-11-27T06:33:39Z</cp:lastPrinted>
  <dcterms:created xsi:type="dcterms:W3CDTF">2025-11-11T10:34:03Z</dcterms:created>
  <dcterms:modified xsi:type="dcterms:W3CDTF">2025-11-27T06:43:39Z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2025-11-11T00:00:00Z</vt:filetime>
  </property>
  <property fmtid="{D5CDD505-2E9C-101B-9397-08002B2CF9AE}" pid="3" name="LastSaved">
    <vt:filetime>2025-11-11T00:00:00Z</vt:filetime>
  </property>
  <property fmtid="{D5CDD505-2E9C-101B-9397-08002B2CF9AE}" pid="4" name="Producer">
    <vt:lpwstr>iLovePDF</vt:lpwstr>
  </property>
</Properties>
</file>